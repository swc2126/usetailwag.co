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-Month Foreca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<sst xmlns="http://schemas.openxmlformats.org/spreadsheetml/2006/main" count="112" uniqueCount="60">
  <si>
    <t xml:space="preserve">TailWag</t>
  </si>
  <si>
    <t xml:space="preserve">12-Month Financial Forecast — April 2026 to April 2027</t>
  </si>
  <si>
    <t xml:space="preserve">ASSUMPTIONS</t>
  </si>
  <si>
    <t xml:space="preserve">Value</t>
  </si>
  <si>
    <t xml:space="preserve">Source</t>
  </si>
  <si>
    <t xml:space="preserve">Starting Clients (Active + Closed Won)</t>
  </si>
  <si>
    <t xml:space="preserve">Notion CRM — 0 Active Clients as of 3/26/2026</t>
  </si>
  <si>
    <t xml:space="preserve">Pipeline Deals (Hot/Warm)</t>
  </si>
  <si>
    <t xml:space="preserve">Cosmic Canine (Hot), Top Paw Resort (Warm), Dogs Rule Resort (Hot)</t>
  </si>
  <si>
    <t xml:space="preserve">Avg Revenue per Client ($/mo)</t>
  </si>
  <si>
    <t xml:space="preserve">Blended avg: Starter $189, Growth $249, Pro $329/mo — yearly billing gets 10% discount</t>
  </si>
  <si>
    <t xml:space="preserve">New Clients per Month (after ramp)</t>
  </si>
  <si>
    <t xml:space="preserve">Conservative — based on current demo pace in Irving/Carrollton area</t>
  </si>
  <si>
    <t xml:space="preserve">Variable Cost Rate (% of revenue)</t>
  </si>
  <si>
    <t xml:space="preserve">Twilio SMS + Anthropic API — ~15% of subscription revenue</t>
  </si>
  <si>
    <t xml:space="preserve">Fixed Monthly Costs ($)</t>
  </si>
  <si>
    <t xml:space="preserve">Render hosting, software tools, gas for demos</t>
  </si>
  <si>
    <t xml:space="preserve">Monthly Churn Rate</t>
  </si>
  <si>
    <t xml:space="preserve">Assumption — 5% monthly churn (typical early SaaS)</t>
  </si>
  <si>
    <t xml:space="preserve">Starting Cash ($)</t>
  </si>
  <si>
    <t xml:space="preserve">Savings set aside for TailWag</t>
  </si>
  <si>
    <t xml:space="preserve">Green text = you can edit this</t>
  </si>
  <si>
    <t xml:space="preserve">MONTHLY PROJECTION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</si>
  <si>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</si>
  <si>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</si>
  <si>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</si>
  <si>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</si>
  <si>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</si>
  <si>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</si>
  <si>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</si>
  <si>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</si>
  <si>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</si>
  <si>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</si>
  <si>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</si>
  <si>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</si>
  <si>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</si>
  <si>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New Clients Added</t>
  </si>
  <si>
    <t xml:space="preserve">Churned Clients</t>
  </si>
  <si>
    <t xml:space="preserve">Active Clients</t>
  </si>
  <si>
    <t xml:space="preserve">REVENUE</t>
  </si>
  <si>
    <t xml:space="preserve">Subscription Revenue</t>
  </si>
  <si>
    <t xml:space="preserve">Total Revenue</t>
  </si>
  <si>
    <t xml:space="preserve">COSTS</t>
  </si>
  <si>
    <t xml:space="preserve">Variable Costs (SMS + API)</t>
  </si>
  <si>
    <t xml:space="preserve">Fixed Costs (Hosting + Tools)</t>
  </si>
  <si>
    <t xml:space="preserve">Total Costs</t>
  </si>
  <si>
    <t xml:space="preserve">PROFITABILITY</t>
  </si>
  <si>
    <t xml:space="preserve">Gross Profit</t>
  </si>
  <si>
    <t xml:space="preserve">Gross Margin %</t>
  </si>
  <si>
    <t xml:space="preserve">Net Income</t>
  </si>
  <si>
    <t xml:space="preserve">Net Margin %</t>
  </si>
  <si>
    <t xml:space="preserve">CASH POSITION</t>
  </si>
  <si>
    <t xml:space="preserve">Starting Cash</t>
  </si>
  <si>
    <t xml:space="preserve">Net Cash Flow</t>
  </si>
  <si>
    <t xml:space="preserve">Ending Cash</t>
  </si>
  <si>
    <t xml:space="preserve">KEY METRICS SUMMARY</t>
  </si>
  <si>
    <t xml:space="preserve">Cumulative Clients (Apr 2027)</t>
  </si>
  <si>
    <t xml:space="preserve">Monthly Revenue (Apr 2027)</t>
  </si>
  <si>
    <t xml:space="preserve">Annual Run Rate (Apr 2027)</t>
  </si>
  <si>
    <t xml:space="preserve">Ending Cash (Apr 2027)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</si>
</sst>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.0%"/>
    <numFmt numFmtId="168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1410"/>
      <name val="Arial"/>
      <family val="0"/>
      <charset val="1"/>
    </font>
    <font>
      <sz val="13"/>
      <color rgb="FF2D3748"/>
      <name val="Arial"/>
      <family val="0"/>
      <charset val="1"/>
    </font>
    <font>
      <b val="true"/>
      <sz val="11"/>
      <color rgb="FFF5F0E8"/>
      <name val="Arial"/>
      <family val="0"/>
      <charset val="1"/>
    </font>
    <font>
      <b val="true"/>
      <sz val="11"/>
      <color rgb="FF1E6B4A"/>
      <name val="Arial"/>
      <family val="0"/>
      <charset val="1"/>
    </font>
    <font>
      <i val="true"/>
      <sz val="10"/>
      <color rgb="FF2D3748"/>
      <name val="Arial"/>
      <family val="0"/>
      <charset val="1"/>
    </font>
    <font>
      <i val="true"/>
      <sz val="10"/>
      <color rgb="FF1E6B4A"/>
      <name val="Arial"/>
      <family val="0"/>
      <charset val="1"/>
    </font>
    <font>
      <sz val="11"/>
      <color rgb="FF2D3748"/>
      <name val="Arial"/>
      <family val="0"/>
      <charset val="1"/>
    </font>
    <font>
      <b val="true"/>
      <sz val="10"/>
      <color rgb="FFF5F0E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0E8"/>
        <bgColor rgb="FFFFFFFF"/>
      </patternFill>
    </fill>
    <fill>
      <patternFill patternType="solid">
        <fgColor rgb="FF1E6B4A"/>
        <bgColor rgb="FF008080"/>
      </patternFill>
    </fill>
    <fill>
      <patternFill patternType="solid">
        <fgColor rgb="FF0F1410"/>
        <bgColor rgb="FF000000"/>
      </patternFill>
    </fill>
    <fill>
      <patternFill patternType="solid">
        <fgColor rgb="FFFFFFFF"/>
        <bgColor rgb="FFF5F0E8"/>
      </patternFill>
    </fill>
    <fill>
      <patternFill patternType="solid">
        <fgColor rgb="FFC4933F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8C5B0"/>
      </left>
      <right style="thin">
        <color rgb="FFA8C5B0"/>
      </right>
      <top style="thin">
        <color rgb="FFA8C5B0"/>
      </top>
      <bottom style="thin">
        <color rgb="FFA8C5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A8C5B0"/>
      <rgbColor rgb="FF808080"/>
      <rgbColor rgb="FF9999FF"/>
      <rgbColor rgb="FF993366"/>
      <rgbColor rgb="FFF5F0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4933F"/>
      <rgbColor rgb="FF003366"/>
      <rgbColor rgb="FF339966"/>
      <rgbColor rgb="FF0F141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6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"/>
    <col collapsed="false" customWidth="true" hidden="false" outlineLevel="0" max="15" min="3" style="1" width="14"/>
    <col collapsed="false" customWidth="true" hidden="false" outlineLevel="0" max="16" min="16" style="1" width="2"/>
    <col collapsed="false" customWidth="true" hidden="false" outlineLevel="0" max="17" min="17" style="1" width="5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6" hidden="false" customHeight="true" outlineLevel="0" collapsed="false"/>
    <row r="5" customFormat="false" ht="21.75" hidden="false" customHeight="true" outlineLevel="0" collapsed="false">
      <c r="A5" s="5" t="s">
        <v>2</v>
      </c>
      <c r="B5" s="5"/>
      <c r="C5" s="5" t="s">
        <v>3</v>
      </c>
      <c r="D5" s="5"/>
      <c r="E5" s="5" t="s">
        <v>4</v>
      </c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8" hidden="false" customHeight="true" outlineLevel="0" collapsed="false">
      <c r="A6" s="6" t="s">
        <v>5</v>
      </c>
      <c r="B6" s="6"/>
      <c r="C6" s="7" t="n">
        <v>0</v>
      </c>
      <c r="D6" s="8"/>
      <c r="E6" s="9" t="s">
        <v>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customFormat="false" ht="18" hidden="false" customHeight="true" outlineLevel="0" collapsed="false">
      <c r="A7" s="10" t="s">
        <v>7</v>
      </c>
      <c r="B7" s="10"/>
      <c r="C7" s="11" t="n">
        <v>3</v>
      </c>
      <c r="D7" s="12"/>
      <c r="E7" s="13" t="s">
        <v>8</v>
      </c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18" hidden="false" customHeight="true" outlineLevel="0" collapsed="false">
      <c r="A8" s="6" t="s">
        <v>9</v>
      </c>
      <c r="B8" s="6"/>
      <c r="C8" s="14" t="n">
        <v>229</v>
      </c>
      <c r="D8" s="8"/>
      <c r="E8" s="9" t="s">
        <v>10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18" hidden="false" customHeight="true" outlineLevel="0" collapsed="false">
      <c r="A9" s="10" t="s">
        <v>11</v>
      </c>
      <c r="B9" s="10"/>
      <c r="C9" s="11" t="n">
        <v>2</v>
      </c>
      <c r="D9" s="12"/>
      <c r="E9" s="13" t="s">
        <v>12</v>
      </c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18" hidden="false" customHeight="true" outlineLevel="0" collapsed="false">
      <c r="A10" s="6" t="s">
        <v>13</v>
      </c>
      <c r="B10" s="6"/>
      <c r="C10" s="15" t="n">
        <v>0.15</v>
      </c>
      <c r="D10" s="8"/>
      <c r="E10" s="9" t="s">
        <v>14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18" hidden="false" customHeight="true" outlineLevel="0" collapsed="false">
      <c r="A11" s="10" t="s">
        <v>15</v>
      </c>
      <c r="B11" s="10"/>
      <c r="C11" s="16" t="n">
        <v>500</v>
      </c>
      <c r="D11" s="12"/>
      <c r="E11" s="13" t="s">
        <v>16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customFormat="false" ht="18" hidden="false" customHeight="true" outlineLevel="0" collapsed="false">
      <c r="A12" s="6" t="s">
        <v>17</v>
      </c>
      <c r="B12" s="6"/>
      <c r="C12" s="15" t="n">
        <v>0.05</v>
      </c>
      <c r="D12" s="8"/>
      <c r="E12" s="9" t="s">
        <v>18</v>
      </c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18" hidden="false" customHeight="true" outlineLevel="0" collapsed="false">
      <c r="A13" s="10" t="s">
        <v>19</v>
      </c>
      <c r="B13" s="10"/>
      <c r="C13" s="16" t="n">
        <v>15000</v>
      </c>
      <c r="D13" s="12"/>
      <c r="E13" s="13" t="s">
        <v>20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8" hidden="false" customHeight="true" outlineLevel="0" collapsed="false">
      <c r="A14" s="17" t="s">
        <v>21</v>
      </c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customFormat="false" ht="6" hidden="false" customHeight="true" outlineLevel="0" collapsed="false"/>
    <row r="16" customFormat="false" ht="21.75" hidden="false" customHeight="true" outlineLevel="0" collapsed="false">
      <c r="A16" s="5" t="s">
        <v>22</v>
      </c>
      <c r="B16" s="5"/>
      <c r="C16" s="20" t="s">
        <v>23</v>
      </c>
      <c r="D16" s="20" t="s">
        <v>24</v>
      </c>
      <c r="E16" s="20" t="s">
        <v>25</v>
      </c>
      <c r="F16" s="20" t="s">
        <v>26</v>
      </c>
      <c r="G16" s="20" t="s">
        <v>27</v>
      </c>
      <c r="H16" s="20" t="s">
        <v>28</v>
      </c>
      <c r="I16" s="20" t="s">
        <v>29</v>
      </c>
      <c r="J16" s="20" t="s">
        <v>30</v>
      </c>
      <c r="K16" s="20" t="s">
        <v>31</v>
      </c>
      <c r="L16" s="20" t="s">
        <v>32</v>
      </c>
      <c r="M16" s="20" t="s">
        <v>33</v>
      </c>
      <c r="N16" s="20" t="s">
        <v>34</v>
      </c>
      <c r="O16" s="20" t="s">
        <v>35</v>
      </c>
    </row>
    <row r="17" customFormat="false" ht="18" hidden="false" customHeight="true" outlineLevel="0" collapsed="false">
      <c r="A17" s="18" t="s">
        <v>36</v>
      </c>
      <c r="B17" s="18"/>
      <c r="C17" s="21" t="n">
        <v>1</v>
      </c>
      <c r="D17" s="21" t="n">
        <v>2</v>
      </c>
      <c r="E17" s="21" t="n">
        <f aca="false">$C$9</f>
        <v>2</v>
      </c>
      <c r="F17" s="21" t="n">
        <f aca="false">$C$9</f>
        <v>2</v>
      </c>
      <c r="G17" s="21" t="n">
        <f aca="false">$C$9</f>
        <v>2</v>
      </c>
      <c r="H17" s="21" t="n">
        <f aca="false">$C$9</f>
        <v>2</v>
      </c>
      <c r="I17" s="21" t="n">
        <f aca="false">$C$9</f>
        <v>2</v>
      </c>
      <c r="J17" s="21" t="n">
        <f aca="false">$C$9</f>
        <v>2</v>
      </c>
      <c r="K17" s="21" t="n">
        <f aca="false">$C$9</f>
        <v>2</v>
      </c>
      <c r="L17" s="21" t="n">
        <f aca="false">$C$9</f>
        <v>2</v>
      </c>
      <c r="M17" s="21" t="n">
        <f aca="false">$C$9</f>
        <v>2</v>
      </c>
      <c r="N17" s="21" t="n">
        <f aca="false">$C$9</f>
        <v>2</v>
      </c>
      <c r="O17" s="21" t="n">
        <f aca="false">$C$9</f>
        <v>2</v>
      </c>
    </row>
    <row r="18" customFormat="false" ht="18" hidden="false" customHeight="true" outlineLevel="0" collapsed="false">
      <c r="A18" s="22" t="s">
        <v>37</v>
      </c>
      <c r="B18" s="22"/>
      <c r="C18" s="23" t="n">
        <f aca="false">ROUNDDOWN($C$6*$C$12,0)</f>
        <v>0</v>
      </c>
      <c r="D18" s="23" t="n">
        <f aca="false">ROUNDDOWN(C19*$C$12,0)</f>
        <v>0</v>
      </c>
      <c r="E18" s="23" t="n">
        <f aca="false">ROUNDDOWN(D19*$C$12,0)</f>
        <v>0</v>
      </c>
      <c r="F18" s="23" t="n">
        <f aca="false">ROUNDDOWN(E19*$C$12,0)</f>
        <v>0</v>
      </c>
      <c r="G18" s="23" t="n">
        <f aca="false">ROUNDDOWN(F19*$C$12,0)</f>
        <v>0</v>
      </c>
      <c r="H18" s="23" t="n">
        <f aca="false">ROUNDDOWN(G19*$C$12,0)</f>
        <v>0</v>
      </c>
      <c r="I18" s="23" t="n">
        <f aca="false">ROUNDDOWN(H19*$C$12,0)</f>
        <v>0</v>
      </c>
      <c r="J18" s="23" t="n">
        <f aca="false">ROUNDDOWN(I19*$C$12,0)</f>
        <v>0</v>
      </c>
      <c r="K18" s="23" t="n">
        <f aca="false">ROUNDDOWN(J19*$C$12,0)</f>
        <v>0</v>
      </c>
      <c r="L18" s="23" t="n">
        <f aca="false">ROUNDDOWN(K19*$C$12,0)</f>
        <v>0</v>
      </c>
      <c r="M18" s="23" t="n">
        <f aca="false">ROUNDDOWN(L19*$C$12,0)</f>
        <v>0</v>
      </c>
      <c r="N18" s="23" t="n">
        <f aca="false">ROUNDDOWN(M19*$C$12,0)</f>
        <v>1</v>
      </c>
      <c r="O18" s="23" t="n">
        <f aca="false">ROUNDDOWN(N19*$C$12,0)</f>
        <v>1</v>
      </c>
    </row>
    <row r="19" customFormat="false" ht="15" hidden="false" customHeight="true" outlineLevel="0" collapsed="false">
      <c r="A19" s="24" t="s">
        <v>38</v>
      </c>
      <c r="B19" s="24"/>
      <c r="C19" s="25" t="n">
        <f aca="false">$C$6+C17-C18</f>
        <v>1</v>
      </c>
      <c r="D19" s="25" t="n">
        <f aca="false">C19+D17-D18</f>
        <v>3</v>
      </c>
      <c r="E19" s="25" t="n">
        <f aca="false">D19+E17-E18</f>
        <v>5</v>
      </c>
      <c r="F19" s="25" t="n">
        <f aca="false">E19+F17-F18</f>
        <v>7</v>
      </c>
      <c r="G19" s="25" t="n">
        <f aca="false">F19+G17-G18</f>
        <v>9</v>
      </c>
      <c r="H19" s="25" t="n">
        <f aca="false">G19+H17-H18</f>
        <v>11</v>
      </c>
      <c r="I19" s="25" t="n">
        <f aca="false">H19+I17-I18</f>
        <v>13</v>
      </c>
      <c r="J19" s="25" t="n">
        <f aca="false">I19+J17-J18</f>
        <v>15</v>
      </c>
      <c r="K19" s="25" t="n">
        <f aca="false">J19+K17-K18</f>
        <v>17</v>
      </c>
      <c r="L19" s="25" t="n">
        <f aca="false">K19+L17-L18</f>
        <v>19</v>
      </c>
      <c r="M19" s="25" t="n">
        <f aca="false">L19+M17-M18</f>
        <v>21</v>
      </c>
      <c r="N19" s="25" t="n">
        <f aca="false">M19+N17-N18</f>
        <v>22</v>
      </c>
      <c r="O19" s="25" t="n">
        <f aca="false">N19+O17-O18</f>
        <v>23</v>
      </c>
    </row>
    <row r="20" customFormat="false" ht="6" hidden="false" customHeight="true" outlineLevel="0" collapsed="false"/>
    <row r="21" customFormat="false" ht="21.75" hidden="false" customHeight="true" outlineLevel="0" collapsed="false">
      <c r="A21" s="5" t="s">
        <v>39</v>
      </c>
      <c r="B21" s="5"/>
      <c r="C21" s="26" t="s">
        <v>23</v>
      </c>
      <c r="D21" s="26" t="s">
        <v>24</v>
      </c>
      <c r="E21" s="26" t="s">
        <v>25</v>
      </c>
      <c r="F21" s="26" t="s">
        <v>26</v>
      </c>
      <c r="G21" s="26" t="s">
        <v>27</v>
      </c>
      <c r="H21" s="26" t="s">
        <v>28</v>
      </c>
      <c r="I21" s="26" t="s">
        <v>29</v>
      </c>
      <c r="J21" s="26" t="s">
        <v>30</v>
      </c>
      <c r="K21" s="26" t="s">
        <v>31</v>
      </c>
      <c r="L21" s="26" t="s">
        <v>32</v>
      </c>
      <c r="M21" s="26" t="s">
        <v>33</v>
      </c>
      <c r="N21" s="26" t="s">
        <v>34</v>
      </c>
      <c r="O21" s="26" t="s">
        <v>35</v>
      </c>
    </row>
    <row r="22" customFormat="false" ht="18" hidden="false" customHeight="true" outlineLevel="0" collapsed="false">
      <c r="A22" s="18" t="s">
        <v>40</v>
      </c>
      <c r="B22" s="18"/>
      <c r="C22" s="27" t="n">
        <f aca="false">C19*$C$8</f>
        <v>229</v>
      </c>
      <c r="D22" s="27" t="n">
        <f aca="false">D19*$C$8</f>
        <v>687</v>
      </c>
      <c r="E22" s="27" t="n">
        <f aca="false">E19*$C$8</f>
        <v>1145</v>
      </c>
      <c r="F22" s="27" t="n">
        <f aca="false">F19*$C$8</f>
        <v>1603</v>
      </c>
      <c r="G22" s="27" t="n">
        <f aca="false">G19*$C$8</f>
        <v>2061</v>
      </c>
      <c r="H22" s="27" t="n">
        <f aca="false">H19*$C$8</f>
        <v>2519</v>
      </c>
      <c r="I22" s="27" t="n">
        <f aca="false">I19*$C$8</f>
        <v>2977</v>
      </c>
      <c r="J22" s="27" t="n">
        <f aca="false">J19*$C$8</f>
        <v>3435</v>
      </c>
      <c r="K22" s="27" t="n">
        <f aca="false">K19*$C$8</f>
        <v>3893</v>
      </c>
      <c r="L22" s="27" t="n">
        <f aca="false">L19*$C$8</f>
        <v>4351</v>
      </c>
      <c r="M22" s="27" t="n">
        <f aca="false">M19*$C$8</f>
        <v>4809</v>
      </c>
      <c r="N22" s="27" t="n">
        <f aca="false">N19*$C$8</f>
        <v>5038</v>
      </c>
      <c r="O22" s="27" t="n">
        <f aca="false">O19*$C$8</f>
        <v>5267</v>
      </c>
    </row>
    <row r="23" customFormat="false" ht="15" hidden="false" customHeight="true" outlineLevel="0" collapsed="false">
      <c r="A23" s="24" t="s">
        <v>41</v>
      </c>
      <c r="B23" s="24"/>
      <c r="C23" s="28" t="n">
        <f aca="false">C22</f>
        <v>229</v>
      </c>
      <c r="D23" s="28" t="n">
        <f aca="false">D22</f>
        <v>687</v>
      </c>
      <c r="E23" s="28" t="n">
        <f aca="false">E22</f>
        <v>1145</v>
      </c>
      <c r="F23" s="28" t="n">
        <f aca="false">F22</f>
        <v>1603</v>
      </c>
      <c r="G23" s="28" t="n">
        <f aca="false">G22</f>
        <v>2061</v>
      </c>
      <c r="H23" s="28" t="n">
        <f aca="false">H22</f>
        <v>2519</v>
      </c>
      <c r="I23" s="28" t="n">
        <f aca="false">I22</f>
        <v>2977</v>
      </c>
      <c r="J23" s="28" t="n">
        <f aca="false">J22</f>
        <v>3435</v>
      </c>
      <c r="K23" s="28" t="n">
        <f aca="false">K22</f>
        <v>3893</v>
      </c>
      <c r="L23" s="28" t="n">
        <f aca="false">L22</f>
        <v>4351</v>
      </c>
      <c r="M23" s="28" t="n">
        <f aca="false">M22</f>
        <v>4809</v>
      </c>
      <c r="N23" s="28" t="n">
        <f aca="false">N22</f>
        <v>5038</v>
      </c>
      <c r="O23" s="28" t="n">
        <f aca="false">O22</f>
        <v>5267</v>
      </c>
    </row>
    <row r="24" customFormat="false" ht="6" hidden="false" customHeight="true" outlineLevel="0" collapsed="false"/>
    <row r="25" customFormat="false" ht="21.75" hidden="false" customHeight="true" outlineLevel="0" collapsed="false">
      <c r="A25" s="5" t="s">
        <v>42</v>
      </c>
      <c r="B25" s="5"/>
      <c r="C25" s="26" t="s">
        <v>23</v>
      </c>
      <c r="D25" s="26" t="s">
        <v>24</v>
      </c>
      <c r="E25" s="26" t="s">
        <v>25</v>
      </c>
      <c r="F25" s="26" t="s">
        <v>26</v>
      </c>
      <c r="G25" s="26" t="s">
        <v>27</v>
      </c>
      <c r="H25" s="26" t="s">
        <v>28</v>
      </c>
      <c r="I25" s="26" t="s">
        <v>29</v>
      </c>
      <c r="J25" s="26" t="s">
        <v>30</v>
      </c>
      <c r="K25" s="26" t="s">
        <v>31</v>
      </c>
      <c r="L25" s="26" t="s">
        <v>32</v>
      </c>
      <c r="M25" s="26" t="s">
        <v>33</v>
      </c>
      <c r="N25" s="26" t="s">
        <v>34</v>
      </c>
      <c r="O25" s="26" t="s">
        <v>35</v>
      </c>
    </row>
    <row r="26" customFormat="false" ht="18" hidden="false" customHeight="true" outlineLevel="0" collapsed="false">
      <c r="A26" s="18" t="s">
        <v>43</v>
      </c>
      <c r="B26" s="18"/>
      <c r="C26" s="27" t="n">
        <f aca="false">C23*$C$10</f>
        <v>34.35</v>
      </c>
      <c r="D26" s="27" t="n">
        <f aca="false">D23*$C$10</f>
        <v>103.05</v>
      </c>
      <c r="E26" s="27" t="n">
        <f aca="false">E23*$C$10</f>
        <v>171.75</v>
      </c>
      <c r="F26" s="27" t="n">
        <f aca="false">F23*$C$10</f>
        <v>240.45</v>
      </c>
      <c r="G26" s="27" t="n">
        <f aca="false">G23*$C$10</f>
        <v>309.15</v>
      </c>
      <c r="H26" s="27" t="n">
        <f aca="false">H23*$C$10</f>
        <v>377.85</v>
      </c>
      <c r="I26" s="27" t="n">
        <f aca="false">I23*$C$10</f>
        <v>446.55</v>
      </c>
      <c r="J26" s="27" t="n">
        <f aca="false">J23*$C$10</f>
        <v>515.25</v>
      </c>
      <c r="K26" s="27" t="n">
        <f aca="false">K23*$C$10</f>
        <v>583.95</v>
      </c>
      <c r="L26" s="27" t="n">
        <f aca="false">L23*$C$10</f>
        <v>652.65</v>
      </c>
      <c r="M26" s="27" t="n">
        <f aca="false">M23*$C$10</f>
        <v>721.35</v>
      </c>
      <c r="N26" s="27" t="n">
        <f aca="false">N23*$C$10</f>
        <v>755.7</v>
      </c>
      <c r="O26" s="27" t="n">
        <f aca="false">O23*$C$10</f>
        <v>790.05</v>
      </c>
    </row>
    <row r="27" customFormat="false" ht="18" hidden="false" customHeight="true" outlineLevel="0" collapsed="false">
      <c r="A27" s="22" t="s">
        <v>44</v>
      </c>
      <c r="B27" s="22"/>
      <c r="C27" s="29" t="n">
        <f aca="false">$C$11</f>
        <v>500</v>
      </c>
      <c r="D27" s="29" t="n">
        <f aca="false">$C$11</f>
        <v>500</v>
      </c>
      <c r="E27" s="29" t="n">
        <f aca="false">$C$11</f>
        <v>500</v>
      </c>
      <c r="F27" s="29" t="n">
        <f aca="false">$C$11</f>
        <v>500</v>
      </c>
      <c r="G27" s="29" t="n">
        <f aca="false">$C$11</f>
        <v>500</v>
      </c>
      <c r="H27" s="29" t="n">
        <f aca="false">$C$11</f>
        <v>500</v>
      </c>
      <c r="I27" s="29" t="n">
        <f aca="false">$C$11</f>
        <v>500</v>
      </c>
      <c r="J27" s="29" t="n">
        <f aca="false">$C$11</f>
        <v>500</v>
      </c>
      <c r="K27" s="29" t="n">
        <f aca="false">$C$11</f>
        <v>500</v>
      </c>
      <c r="L27" s="29" t="n">
        <f aca="false">$C$11</f>
        <v>500</v>
      </c>
      <c r="M27" s="29" t="n">
        <f aca="false">$C$11</f>
        <v>500</v>
      </c>
      <c r="N27" s="29" t="n">
        <f aca="false">$C$11</f>
        <v>500</v>
      </c>
      <c r="O27" s="29" t="n">
        <f aca="false">$C$11</f>
        <v>500</v>
      </c>
    </row>
    <row r="28" customFormat="false" ht="15" hidden="false" customHeight="true" outlineLevel="0" collapsed="false">
      <c r="A28" s="24" t="s">
        <v>45</v>
      </c>
      <c r="B28" s="24"/>
      <c r="C28" s="28" t="n">
        <f aca="false">C26+C27</f>
        <v>534.35</v>
      </c>
      <c r="D28" s="28" t="n">
        <f aca="false">D26+D27</f>
        <v>603.05</v>
      </c>
      <c r="E28" s="28" t="n">
        <f aca="false">E26+E27</f>
        <v>671.75</v>
      </c>
      <c r="F28" s="28" t="n">
        <f aca="false">F26+F27</f>
        <v>740.45</v>
      </c>
      <c r="G28" s="28" t="n">
        <f aca="false">G26+G27</f>
        <v>809.15</v>
      </c>
      <c r="H28" s="28" t="n">
        <f aca="false">H26+H27</f>
        <v>877.85</v>
      </c>
      <c r="I28" s="28" t="n">
        <f aca="false">I26+I27</f>
        <v>946.55</v>
      </c>
      <c r="J28" s="28" t="n">
        <f aca="false">J26+J27</f>
        <v>1015.25</v>
      </c>
      <c r="K28" s="28" t="n">
        <f aca="false">K26+K27</f>
        <v>1083.95</v>
      </c>
      <c r="L28" s="28" t="n">
        <f aca="false">L26+L27</f>
        <v>1152.65</v>
      </c>
      <c r="M28" s="28" t="n">
        <f aca="false">M26+M27</f>
        <v>1221.35</v>
      </c>
      <c r="N28" s="28" t="n">
        <f aca="false">N26+N27</f>
        <v>1255.7</v>
      </c>
      <c r="O28" s="28" t="n">
        <f aca="false">O26+O27</f>
        <v>1290.05</v>
      </c>
    </row>
    <row r="29" customFormat="false" ht="6" hidden="false" customHeight="true" outlineLevel="0" collapsed="false"/>
    <row r="30" customFormat="false" ht="21.75" hidden="false" customHeight="true" outlineLevel="0" collapsed="false">
      <c r="A30" s="5" t="s">
        <v>46</v>
      </c>
      <c r="B30" s="5"/>
      <c r="C30" s="26" t="s">
        <v>23</v>
      </c>
      <c r="D30" s="26" t="s">
        <v>24</v>
      </c>
      <c r="E30" s="26" t="s">
        <v>25</v>
      </c>
      <c r="F30" s="26" t="s">
        <v>26</v>
      </c>
      <c r="G30" s="26" t="s">
        <v>27</v>
      </c>
      <c r="H30" s="26" t="s">
        <v>28</v>
      </c>
      <c r="I30" s="26" t="s">
        <v>29</v>
      </c>
      <c r="J30" s="26" t="s">
        <v>30</v>
      </c>
      <c r="K30" s="26" t="s">
        <v>31</v>
      </c>
      <c r="L30" s="26" t="s">
        <v>32</v>
      </c>
      <c r="M30" s="26" t="s">
        <v>33</v>
      </c>
      <c r="N30" s="26" t="s">
        <v>34</v>
      </c>
      <c r="O30" s="26" t="s">
        <v>35</v>
      </c>
    </row>
    <row r="31" customFormat="false" ht="18" hidden="false" customHeight="true" outlineLevel="0" collapsed="false">
      <c r="A31" s="18" t="s">
        <v>47</v>
      </c>
      <c r="B31" s="18"/>
      <c r="C31" s="27" t="n">
        <f aca="false">C23-C26</f>
        <v>194.65</v>
      </c>
      <c r="D31" s="27" t="n">
        <f aca="false">D23-D26</f>
        <v>583.95</v>
      </c>
      <c r="E31" s="27" t="n">
        <f aca="false">E23-E26</f>
        <v>973.25</v>
      </c>
      <c r="F31" s="27" t="n">
        <f aca="false">F23-F26</f>
        <v>1362.55</v>
      </c>
      <c r="G31" s="27" t="n">
        <f aca="false">G23-G26</f>
        <v>1751.85</v>
      </c>
      <c r="H31" s="27" t="n">
        <f aca="false">H23-H26</f>
        <v>2141.15</v>
      </c>
      <c r="I31" s="27" t="n">
        <f aca="false">I23-I26</f>
        <v>2530.45</v>
      </c>
      <c r="J31" s="27" t="n">
        <f aca="false">J23-J26</f>
        <v>2919.75</v>
      </c>
      <c r="K31" s="27" t="n">
        <f aca="false">K23-K26</f>
        <v>3309.05</v>
      </c>
      <c r="L31" s="27" t="n">
        <f aca="false">L23-L26</f>
        <v>3698.35</v>
      </c>
      <c r="M31" s="27" t="n">
        <f aca="false">M23-M26</f>
        <v>4087.65</v>
      </c>
      <c r="N31" s="27" t="n">
        <f aca="false">N23-N26</f>
        <v>4282.3</v>
      </c>
      <c r="O31" s="27" t="n">
        <f aca="false">O23-O26</f>
        <v>4476.95</v>
      </c>
    </row>
    <row r="32" customFormat="false" ht="18" hidden="false" customHeight="true" outlineLevel="0" collapsed="false">
      <c r="A32" s="22" t="s">
        <v>48</v>
      </c>
      <c r="B32" s="22"/>
      <c r="C32" s="30" t="n">
        <f aca="false">IF(C23=0,0,C31/C23)</f>
        <v>0.85</v>
      </c>
      <c r="D32" s="30" t="n">
        <f aca="false">IF(D23=0,0,D31/D23)</f>
        <v>0.85</v>
      </c>
      <c r="E32" s="30" t="n">
        <f aca="false">IF(E23=0,0,E31/E23)</f>
        <v>0.85</v>
      </c>
      <c r="F32" s="30" t="n">
        <f aca="false">IF(F23=0,0,F31/F23)</f>
        <v>0.85</v>
      </c>
      <c r="G32" s="30" t="n">
        <f aca="false">IF(G23=0,0,G31/G23)</f>
        <v>0.85</v>
      </c>
      <c r="H32" s="30" t="n">
        <f aca="false">IF(H23=0,0,H31/H23)</f>
        <v>0.85</v>
      </c>
      <c r="I32" s="30" t="n">
        <f aca="false">IF(I23=0,0,I31/I23)</f>
        <v>0.85</v>
      </c>
      <c r="J32" s="30" t="n">
        <f aca="false">IF(J23=0,0,J31/J23)</f>
        <v>0.85</v>
      </c>
      <c r="K32" s="30" t="n">
        <f aca="false">IF(K23=0,0,K31/K23)</f>
        <v>0.85</v>
      </c>
      <c r="L32" s="30" t="n">
        <f aca="false">IF(L23=0,0,L31/L23)</f>
        <v>0.85</v>
      </c>
      <c r="M32" s="30" t="n">
        <f aca="false">IF(M23=0,0,M31/M23)</f>
        <v>0.85</v>
      </c>
      <c r="N32" s="30" t="n">
        <f aca="false">IF(N23=0,0,N31/N23)</f>
        <v>0.85</v>
      </c>
      <c r="O32" s="30" t="n">
        <f aca="false">IF(O23=0,0,O31/O23)</f>
        <v>0.85</v>
      </c>
    </row>
    <row r="33" customFormat="false" ht="15" hidden="false" customHeight="true" outlineLevel="0" collapsed="false">
      <c r="A33" s="31" t="s">
        <v>49</v>
      </c>
      <c r="B33" s="31"/>
      <c r="C33" s="32" t="n">
        <f aca="false">C23-C28</f>
        <v>-305.35</v>
      </c>
      <c r="D33" s="32" t="n">
        <f aca="false">D23-D28</f>
        <v>83.9500000000001</v>
      </c>
      <c r="E33" s="32" t="n">
        <f aca="false">E23-E28</f>
        <v>473.25</v>
      </c>
      <c r="F33" s="32" t="n">
        <f aca="false">F23-F28</f>
        <v>862.55</v>
      </c>
      <c r="G33" s="32" t="n">
        <f aca="false">G23-G28</f>
        <v>1251.85</v>
      </c>
      <c r="H33" s="32" t="n">
        <f aca="false">H23-H28</f>
        <v>1641.15</v>
      </c>
      <c r="I33" s="32" t="n">
        <f aca="false">I23-I28</f>
        <v>2030.45</v>
      </c>
      <c r="J33" s="32" t="n">
        <f aca="false">J23-J28</f>
        <v>2419.75</v>
      </c>
      <c r="K33" s="32" t="n">
        <f aca="false">K23-K28</f>
        <v>2809.05</v>
      </c>
      <c r="L33" s="32" t="n">
        <f aca="false">L23-L28</f>
        <v>3198.35</v>
      </c>
      <c r="M33" s="32" t="n">
        <f aca="false">M23-M28</f>
        <v>3587.65</v>
      </c>
      <c r="N33" s="32" t="n">
        <f aca="false">N23-N28</f>
        <v>3782.3</v>
      </c>
      <c r="O33" s="32" t="n">
        <f aca="false">O23-O28</f>
        <v>3976.95</v>
      </c>
    </row>
    <row r="34" customFormat="false" ht="18" hidden="false" customHeight="true" outlineLevel="0" collapsed="false">
      <c r="A34" s="18" t="s">
        <v>50</v>
      </c>
      <c r="B34" s="18"/>
      <c r="C34" s="33" t="n">
        <f aca="false">IF(C23=0,0,C33/C23)</f>
        <v>-1.33340611353712</v>
      </c>
      <c r="D34" s="33" t="n">
        <f aca="false">IF(D23=0,0,D33/D23)</f>
        <v>0.122197962154294</v>
      </c>
      <c r="E34" s="33" t="n">
        <f aca="false">IF(E23=0,0,E33/E23)</f>
        <v>0.413318777292576</v>
      </c>
      <c r="F34" s="33" t="n">
        <f aca="false">IF(F23=0,0,F33/F23)</f>
        <v>0.538084840923269</v>
      </c>
      <c r="G34" s="33" t="n">
        <f aca="false">IF(G23=0,0,G33/G23)</f>
        <v>0.607399320718098</v>
      </c>
      <c r="H34" s="33" t="n">
        <f aca="false">IF(H23=0,0,H33/H23)</f>
        <v>0.651508535132989</v>
      </c>
      <c r="I34" s="33" t="n">
        <f aca="false">IF(I23=0,0,I33/I23)</f>
        <v>0.682045683574068</v>
      </c>
      <c r="J34" s="33" t="n">
        <f aca="false">IF(J23=0,0,J33/J23)</f>
        <v>0.704439592430859</v>
      </c>
      <c r="K34" s="33" t="n">
        <f aca="false">IF(K23=0,0,K33/K23)</f>
        <v>0.721564346262523</v>
      </c>
      <c r="L34" s="33" t="n">
        <f aca="false">IF(L23=0,0,L33/L23)</f>
        <v>0.735083888761204</v>
      </c>
      <c r="M34" s="33" t="n">
        <f aca="false">IF(M23=0,0,M33/M23)</f>
        <v>0.746028280307756</v>
      </c>
      <c r="N34" s="33" t="n">
        <f aca="false">IF(N23=0,0,N33/N23)</f>
        <v>0.750754267566495</v>
      </c>
      <c r="O34" s="33" t="n">
        <f aca="false">IF(O23=0,0,O33/O23)</f>
        <v>0.75506929941143</v>
      </c>
    </row>
    <row r="35" customFormat="false" ht="6" hidden="false" customHeight="true" outlineLevel="0" collapsed="false"/>
    <row r="36" customFormat="false" ht="21.75" hidden="false" customHeight="true" outlineLevel="0" collapsed="false">
      <c r="A36" s="5" t="s">
        <v>51</v>
      </c>
      <c r="B36" s="5"/>
      <c r="C36" s="26" t="s">
        <v>23</v>
      </c>
      <c r="D36" s="26" t="s">
        <v>24</v>
      </c>
      <c r="E36" s="26" t="s">
        <v>25</v>
      </c>
      <c r="F36" s="26" t="s">
        <v>26</v>
      </c>
      <c r="G36" s="26" t="s">
        <v>27</v>
      </c>
      <c r="H36" s="26" t="s">
        <v>28</v>
      </c>
      <c r="I36" s="26" t="s">
        <v>29</v>
      </c>
      <c r="J36" s="26" t="s">
        <v>30</v>
      </c>
      <c r="K36" s="26" t="s">
        <v>31</v>
      </c>
      <c r="L36" s="26" t="s">
        <v>32</v>
      </c>
      <c r="M36" s="26" t="s">
        <v>33</v>
      </c>
      <c r="N36" s="26" t="s">
        <v>34</v>
      </c>
      <c r="O36" s="26" t="s">
        <v>35</v>
      </c>
    </row>
    <row r="37" customFormat="false" ht="18" hidden="false" customHeight="true" outlineLevel="0" collapsed="false">
      <c r="A37" s="18" t="s">
        <v>52</v>
      </c>
      <c r="B37" s="18"/>
      <c r="C37" s="27" t="n">
        <f aca="false">$C$13</f>
        <v>15000</v>
      </c>
      <c r="D37" s="27" t="n">
        <f aca="false">C39</f>
        <v>14694.65</v>
      </c>
      <c r="E37" s="27" t="n">
        <f aca="false">D39</f>
        <v>14778.6</v>
      </c>
      <c r="F37" s="27" t="n">
        <f aca="false">E39</f>
        <v>15251.85</v>
      </c>
      <c r="G37" s="27" t="n">
        <f aca="false">F39</f>
        <v>16114.4</v>
      </c>
      <c r="H37" s="27" t="n">
        <f aca="false">G39</f>
        <v>17366.25</v>
      </c>
      <c r="I37" s="27" t="n">
        <f aca="false">H39</f>
        <v>19007.4</v>
      </c>
      <c r="J37" s="27" t="n">
        <f aca="false">I39</f>
        <v>21037.85</v>
      </c>
      <c r="K37" s="27" t="n">
        <f aca="false">J39</f>
        <v>23457.6</v>
      </c>
      <c r="L37" s="27" t="n">
        <f aca="false">K39</f>
        <v>26266.65</v>
      </c>
      <c r="M37" s="27" t="n">
        <f aca="false">L39</f>
        <v>29465</v>
      </c>
      <c r="N37" s="27" t="n">
        <f aca="false">M39</f>
        <v>33052.65</v>
      </c>
      <c r="O37" s="27" t="n">
        <f aca="false">N39</f>
        <v>36834.95</v>
      </c>
    </row>
    <row r="38" customFormat="false" ht="18" hidden="false" customHeight="true" outlineLevel="0" collapsed="false">
      <c r="A38" s="22" t="s">
        <v>53</v>
      </c>
      <c r="B38" s="22"/>
      <c r="C38" s="29" t="n">
        <f aca="false">C33</f>
        <v>-305.35</v>
      </c>
      <c r="D38" s="29" t="n">
        <f aca="false">D33</f>
        <v>83.9500000000001</v>
      </c>
      <c r="E38" s="29" t="n">
        <f aca="false">E33</f>
        <v>473.25</v>
      </c>
      <c r="F38" s="29" t="n">
        <f aca="false">F33</f>
        <v>862.55</v>
      </c>
      <c r="G38" s="29" t="n">
        <f aca="false">G33</f>
        <v>1251.85</v>
      </c>
      <c r="H38" s="29" t="n">
        <f aca="false">H33</f>
        <v>1641.15</v>
      </c>
      <c r="I38" s="29" t="n">
        <f aca="false">I33</f>
        <v>2030.45</v>
      </c>
      <c r="J38" s="29" t="n">
        <f aca="false">J33</f>
        <v>2419.75</v>
      </c>
      <c r="K38" s="29" t="n">
        <f aca="false">K33</f>
        <v>2809.05</v>
      </c>
      <c r="L38" s="29" t="n">
        <f aca="false">L33</f>
        <v>3198.35</v>
      </c>
      <c r="M38" s="29" t="n">
        <f aca="false">M33</f>
        <v>3587.65</v>
      </c>
      <c r="N38" s="29" t="n">
        <f aca="false">N33</f>
        <v>3782.3</v>
      </c>
      <c r="O38" s="29" t="n">
        <f aca="false">O33</f>
        <v>3976.95</v>
      </c>
    </row>
    <row r="39" customFormat="false" ht="15" hidden="false" customHeight="true" outlineLevel="0" collapsed="false">
      <c r="A39" s="31" t="s">
        <v>54</v>
      </c>
      <c r="B39" s="31"/>
      <c r="C39" s="32" t="n">
        <f aca="false">C37+C38</f>
        <v>14694.65</v>
      </c>
      <c r="D39" s="32" t="n">
        <f aca="false">D37+D38</f>
        <v>14778.6</v>
      </c>
      <c r="E39" s="32" t="n">
        <f aca="false">E37+E38</f>
        <v>15251.85</v>
      </c>
      <c r="F39" s="32" t="n">
        <f aca="false">F37+F38</f>
        <v>16114.4</v>
      </c>
      <c r="G39" s="32" t="n">
        <f aca="false">G37+G38</f>
        <v>17366.25</v>
      </c>
      <c r="H39" s="32" t="n">
        <f aca="false">H37+H38</f>
        <v>19007.4</v>
      </c>
      <c r="I39" s="32" t="n">
        <f aca="false">I37+I38</f>
        <v>21037.85</v>
      </c>
      <c r="J39" s="32" t="n">
        <f aca="false">J37+J38</f>
        <v>23457.6</v>
      </c>
      <c r="K39" s="32" t="n">
        <f aca="false">K37+K38</f>
        <v>26266.65</v>
      </c>
      <c r="L39" s="32" t="n">
        <f aca="false">L37+L38</f>
        <v>29465</v>
      </c>
      <c r="M39" s="32" t="n">
        <f aca="false">M37+M38</f>
        <v>33052.65</v>
      </c>
      <c r="N39" s="32" t="n">
        <f aca="false">N37+N38</f>
        <v>36834.95</v>
      </c>
      <c r="O39" s="32" t="n">
        <f aca="false">O37+O38</f>
        <v>40811.9</v>
      </c>
    </row>
    <row r="40" customFormat="false" ht="6" hidden="false" customHeight="true" outlineLevel="0" collapsed="false"/>
    <row r="41" customFormat="false" ht="21.75" hidden="false" customHeight="true" outlineLevel="0" collapsed="false">
      <c r="A41" s="5" t="s">
        <v>55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customFormat="false" ht="18" hidden="false" customHeight="true" outlineLevel="0" collapsed="false">
      <c r="A42" s="18" t="s">
        <v>56</v>
      </c>
      <c r="B42" s="18"/>
      <c r="C42" s="34" t="n">
        <f aca="false">O19</f>
        <v>23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customFormat="false" ht="18" hidden="false" customHeight="true" outlineLevel="0" collapsed="false">
      <c r="A43" s="22" t="s">
        <v>57</v>
      </c>
      <c r="B43" s="22"/>
      <c r="C43" s="35" t="n">
        <f aca="false">O23</f>
        <v>5267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</row>
    <row r="44" customFormat="false" ht="18" hidden="false" customHeight="true" outlineLevel="0" collapsed="false">
      <c r="A44" s="18" t="s">
        <v>58</v>
      </c>
      <c r="B44" s="18"/>
      <c r="C44" s="37" t="n">
        <f aca="false">O23*12</f>
        <v>63204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customFormat="false" ht="15" hidden="false" customHeight="true" outlineLevel="0" collapsed="false">
      <c r="A45" s="31" t="s">
        <v>59</v>
      </c>
      <c r="B45" s="31"/>
      <c r="C45" s="38" t="n">
        <f aca="false">O39</f>
        <v>40811.9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2026-03-27T01:03:14Z</dcterms:created>
  <dc:creator>openpyxl</dc:creator>
  <dc:description/>
  <dc:language>en-US</dc:language>
  <cp:lastModifiedBy/>
  <dcterms:modified xsi:type="dcterms:W3CDTF">2026-03-27T01:06:54Z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