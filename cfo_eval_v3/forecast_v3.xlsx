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-Month Foreca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<sst xmlns="http://schemas.openxmlformats.org/spreadsheetml/2006/main" count="71" uniqueCount="35">
  <si>
    <t xml:space="preserve">TailWag</t>
  </si>
  <si>
    <t xml:space="preserve">12-Month Revenue &amp; Expense Forecast — 2026</t>
  </si>
  <si>
    <t xml:space="preserve">ASSUMPTIONS &amp; INPUTS (Green text = editable)</t>
  </si>
  <si>
    <t xml:space="preserve">Starting Clients</t>
  </si>
  <si>
    <t xml:space="preserve">Average Revenue per Client ($/mo)</t>
  </si>
  <si>
    <t xml:space="preserve">New Clients Added per Month</t>
  </si>
  <si>
    <t xml:space="preserve">Variable Cost Rate (% of Revenue)</t>
  </si>
  <si>
    <t xml:space="preserve">Fixed Costs per Month ($)</t>
  </si>
  <si>
    <t xml:space="preserve">MONTHLY FORECAST</t>
  </si>
  <si>
    <t xml:space="preserve">Month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</si>
  <si>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</si>
  <si>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</si>
  <si>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</si>
  <si>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</si>
  <si>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</si>
  <si>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</si>
  <si>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</si>
  <si>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</si>
  <si>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</si>
  <si>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</si>
  <si>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</si>
  <si>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</si>
  <si>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 Clients</t>
  </si>
  <si>
    <t xml:space="preserve">Revenue</t>
  </si>
  <si>
    <t xml:space="preserve">Variable Costs</t>
  </si>
  <si>
    <t xml:space="preserve">Contribution Margin</t>
  </si>
  <si>
    <t xml:space="preserve">Fixed Costs</t>
  </si>
  <si>
    <t xml:space="preserve">EBITDA (Monthly Net Income)</t>
  </si>
  <si>
    <t xml:space="preserve">↑ Month 12 Net Income (Key Metric)</t>
  </si>
  <si>
    <t xml:space="preserve">MARGIN ANALYSIS</t>
  </si>
  <si>
    <t xml:space="preserve">Gross Margin %</t>
  </si>
  <si>
    <t xml:space="preserve">EBITDA Margin %</t>
  </si>
  <si>
    <t xml:space="preserve">NOTES &amp; LEGEND</t>
  </si>
  <si>
    <t xml:space="preserve">Green text in Assumptions section = you can edit these values. Forecast updates automatically.</t>
  </si>
  <si>
    <t xml:space="preserve">Variable Costs = 15% of revenue (SMS + API). Fixed Costs = $500/mo (hosting + tools). Adjust as needed.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</si>
</sst>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\$#,##0;&quot;($&quot;#,##0\);\-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1410"/>
      <name val="Arial"/>
      <family val="0"/>
      <charset val="1"/>
    </font>
    <font>
      <sz val="13"/>
      <color rgb="FF2D3748"/>
      <name val="Arial"/>
      <family val="0"/>
      <charset val="1"/>
    </font>
    <font>
      <b val="true"/>
      <sz val="11"/>
      <color rgb="FFF5F0E8"/>
      <name val="Arial"/>
      <family val="0"/>
      <charset val="1"/>
    </font>
    <font>
      <sz val="11"/>
      <color rgb="FF2D3748"/>
      <name val="Arial"/>
      <family val="0"/>
      <charset val="1"/>
    </font>
    <font>
      <sz val="11"/>
      <color rgb="FF1E6B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2D3748"/>
      <name val="Arial"/>
      <family val="0"/>
      <charset val="1"/>
    </font>
    <font>
      <i val="true"/>
      <sz val="10"/>
      <color rgb="FF2D374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0E8"/>
        <bgColor rgb="FFFFFFFF"/>
      </patternFill>
    </fill>
    <fill>
      <patternFill patternType="solid">
        <fgColor rgb="FF1E6B4A"/>
        <bgColor rgb="FF008080"/>
      </patternFill>
    </fill>
    <fill>
      <patternFill patternType="solid">
        <fgColor rgb="FF0F1410"/>
        <bgColor rgb="FF000000"/>
      </patternFill>
    </fill>
    <fill>
      <patternFill patternType="solid">
        <fgColor rgb="FFFFFFFF"/>
        <bgColor rgb="FFF5F0E8"/>
      </patternFill>
    </fill>
    <fill>
      <patternFill patternType="solid">
        <fgColor rgb="FFC4933F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8C5B0"/>
      </left>
      <right style="thin">
        <color rgb="FFA8C5B0"/>
      </right>
      <top style="thin">
        <color rgb="FFA8C5B0"/>
      </top>
      <bottom style="thin">
        <color rgb="FFA8C5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A8C5B0"/>
      <rgbColor rgb="FF808080"/>
      <rgbColor rgb="FF9999FF"/>
      <rgbColor rgb="FF993366"/>
      <rgbColor rgb="FFF5F0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4933F"/>
      <rgbColor rgb="FF003366"/>
      <rgbColor rgb="FF339966"/>
      <rgbColor rgb="FF0F141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13" min="2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21.75" hidden="false" customHeight="true" outlineLevel="0" collapsed="false">
      <c r="A5" s="4" t="s">
        <v>2</v>
      </c>
      <c r="B5" s="4" t="s">
        <v>2</v>
      </c>
      <c r="C5" s="4" t="s">
        <v>2</v>
      </c>
      <c r="D5" s="4" t="s">
        <v>2</v>
      </c>
      <c r="E5" s="4" t="s">
        <v>2</v>
      </c>
      <c r="F5" s="4" t="s">
        <v>2</v>
      </c>
      <c r="G5" s="4" t="s">
        <v>2</v>
      </c>
      <c r="H5" s="4" t="s">
        <v>2</v>
      </c>
      <c r="I5" s="4" t="s">
        <v>2</v>
      </c>
      <c r="J5" s="4" t="s">
        <v>2</v>
      </c>
      <c r="K5" s="4" t="s">
        <v>2</v>
      </c>
      <c r="L5" s="4" t="s">
        <v>2</v>
      </c>
      <c r="M5" s="4" t="s">
        <v>2</v>
      </c>
    </row>
    <row r="6" customFormat="false" ht="15" hidden="false" customHeight="false" outlineLevel="0" collapsed="false">
      <c r="A6" s="5" t="s">
        <v>3</v>
      </c>
      <c r="B6" s="6"/>
      <c r="C6" s="7" t="n">
        <v>3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5" hidden="false" customHeight="false" outlineLevel="0" collapsed="false">
      <c r="A7" s="8" t="s">
        <v>4</v>
      </c>
      <c r="B7" s="9"/>
      <c r="C7" s="10" t="n">
        <v>229</v>
      </c>
      <c r="D7" s="9"/>
      <c r="E7" s="9"/>
      <c r="F7" s="9"/>
      <c r="G7" s="9"/>
      <c r="H7" s="9"/>
      <c r="I7" s="9"/>
      <c r="J7" s="9"/>
      <c r="K7" s="9"/>
      <c r="L7" s="9"/>
      <c r="M7" s="9"/>
    </row>
    <row r="8" customFormat="false" ht="15" hidden="false" customHeight="false" outlineLevel="0" collapsed="false">
      <c r="A8" s="5" t="s">
        <v>5</v>
      </c>
      <c r="B8" s="6"/>
      <c r="C8" s="7" t="n">
        <v>2.5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customFormat="false" ht="15" hidden="false" customHeight="false" outlineLevel="0" collapsed="false">
      <c r="A9" s="8" t="s">
        <v>6</v>
      </c>
      <c r="B9" s="9"/>
      <c r="C9" s="10" t="n">
        <v>0.15</v>
      </c>
      <c r="D9" s="9"/>
      <c r="E9" s="9"/>
      <c r="F9" s="9"/>
      <c r="G9" s="9"/>
      <c r="H9" s="9"/>
      <c r="I9" s="9"/>
      <c r="J9" s="9"/>
      <c r="K9" s="9"/>
      <c r="L9" s="9"/>
      <c r="M9" s="9"/>
    </row>
    <row r="10" customFormat="false" ht="15" hidden="false" customHeight="false" outlineLevel="0" collapsed="false">
      <c r="A10" s="5" t="s">
        <v>7</v>
      </c>
      <c r="B10" s="6"/>
      <c r="C10" s="7" t="n">
        <v>500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2" customFormat="false" ht="21.75" hidden="false" customHeight="true" outlineLevel="0" collapsed="false">
      <c r="A12" s="4" t="s">
        <v>8</v>
      </c>
      <c r="B12" s="4" t="s">
        <v>8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</row>
    <row r="13" customFormat="false" ht="21.75" hidden="false" customHeight="true" outlineLevel="0" collapsed="false">
      <c r="A13" s="11" t="s">
        <v>9</v>
      </c>
      <c r="B13" s="12" t="s">
        <v>10</v>
      </c>
      <c r="C13" s="12" t="s">
        <v>11</v>
      </c>
      <c r="D13" s="12" t="s">
        <v>12</v>
      </c>
      <c r="E13" s="12" t="s">
        <v>13</v>
      </c>
      <c r="F13" s="12" t="s">
        <v>14</v>
      </c>
      <c r="G13" s="12" t="s">
        <v>15</v>
      </c>
      <c r="H13" s="12" t="s">
        <v>16</v>
      </c>
      <c r="I13" s="12" t="s">
        <v>17</v>
      </c>
      <c r="J13" s="12" t="s">
        <v>18</v>
      </c>
      <c r="K13" s="12" t="s">
        <v>19</v>
      </c>
      <c r="L13" s="12" t="s">
        <v>20</v>
      </c>
      <c r="M13" s="12" t="s">
        <v>21</v>
      </c>
    </row>
    <row r="14" customFormat="false" ht="15" hidden="false" customHeight="false" outlineLevel="0" collapsed="false">
      <c r="A14" s="13" t="s">
        <v>22</v>
      </c>
      <c r="B14" s="14" t="n">
        <f aca="false">$C$6+$C$8</f>
        <v>5.5</v>
      </c>
      <c r="C14" s="14" t="n">
        <f aca="false">B14+$C$8</f>
        <v>8</v>
      </c>
      <c r="D14" s="14" t="n">
        <f aca="false">C14+$C$8</f>
        <v>10.5</v>
      </c>
      <c r="E14" s="14" t="n">
        <f aca="false">D14+$C$8</f>
        <v>13</v>
      </c>
      <c r="F14" s="14" t="n">
        <f aca="false">E14+$C$8</f>
        <v>15.5</v>
      </c>
      <c r="G14" s="14" t="n">
        <f aca="false">F14+$C$8</f>
        <v>18</v>
      </c>
      <c r="H14" s="14" t="n">
        <f aca="false">G14+$C$8</f>
        <v>20.5</v>
      </c>
      <c r="I14" s="14" t="n">
        <f aca="false">H14+$C$8</f>
        <v>23</v>
      </c>
      <c r="J14" s="14" t="n">
        <f aca="false">I14+$C$8</f>
        <v>25.5</v>
      </c>
      <c r="K14" s="14" t="n">
        <f aca="false">J14+$C$8</f>
        <v>28</v>
      </c>
      <c r="L14" s="14" t="n">
        <f aca="false">K14+$C$8</f>
        <v>30.5</v>
      </c>
      <c r="M14" s="14" t="n">
        <f aca="false">L14+$C$8</f>
        <v>33</v>
      </c>
    </row>
    <row r="15" customFormat="false" ht="15" hidden="false" customHeight="false" outlineLevel="0" collapsed="false">
      <c r="A15" s="15" t="s">
        <v>23</v>
      </c>
      <c r="B15" s="16" t="n">
        <f aca="false">B14*$C$7</f>
        <v>1259.5</v>
      </c>
      <c r="C15" s="16" t="n">
        <f aca="false">C14*$C$7</f>
        <v>1832</v>
      </c>
      <c r="D15" s="16" t="n">
        <f aca="false">D14*$C$7</f>
        <v>2404.5</v>
      </c>
      <c r="E15" s="16" t="n">
        <f aca="false">E14*$C$7</f>
        <v>2977</v>
      </c>
      <c r="F15" s="16" t="n">
        <f aca="false">F14*$C$7</f>
        <v>3549.5</v>
      </c>
      <c r="G15" s="16" t="n">
        <f aca="false">G14*$C$7</f>
        <v>4122</v>
      </c>
      <c r="H15" s="16" t="n">
        <f aca="false">H14*$C$7</f>
        <v>4694.5</v>
      </c>
      <c r="I15" s="16" t="n">
        <f aca="false">I14*$C$7</f>
        <v>5267</v>
      </c>
      <c r="J15" s="16" t="n">
        <f aca="false">J14*$C$7</f>
        <v>5839.5</v>
      </c>
      <c r="K15" s="16" t="n">
        <f aca="false">K14*$C$7</f>
        <v>6412</v>
      </c>
      <c r="L15" s="16" t="n">
        <f aca="false">L14*$C$7</f>
        <v>6984.5</v>
      </c>
      <c r="M15" s="16" t="n">
        <f aca="false">M14*$C$7</f>
        <v>7557</v>
      </c>
    </row>
    <row r="16" customFormat="false" ht="15" hidden="false" customHeight="false" outlineLevel="0" collapsed="false">
      <c r="A16" s="13" t="s">
        <v>24</v>
      </c>
      <c r="B16" s="17" t="n">
        <f aca="false">B15*$C$9</f>
        <v>188.925</v>
      </c>
      <c r="C16" s="17" t="n">
        <f aca="false">C15*$C$9</f>
        <v>274.8</v>
      </c>
      <c r="D16" s="17" t="n">
        <f aca="false">D15*$C$9</f>
        <v>360.675</v>
      </c>
      <c r="E16" s="17" t="n">
        <f aca="false">E15*$C$9</f>
        <v>446.55</v>
      </c>
      <c r="F16" s="17" t="n">
        <f aca="false">F15*$C$9</f>
        <v>532.425</v>
      </c>
      <c r="G16" s="17" t="n">
        <f aca="false">G15*$C$9</f>
        <v>618.3</v>
      </c>
      <c r="H16" s="17" t="n">
        <f aca="false">H15*$C$9</f>
        <v>704.175</v>
      </c>
      <c r="I16" s="17" t="n">
        <f aca="false">I15*$C$9</f>
        <v>790.05</v>
      </c>
      <c r="J16" s="17" t="n">
        <f aca="false">J15*$C$9</f>
        <v>875.925</v>
      </c>
      <c r="K16" s="17" t="n">
        <f aca="false">K15*$C$9</f>
        <v>961.8</v>
      </c>
      <c r="L16" s="17" t="n">
        <f aca="false">L15*$C$9</f>
        <v>1047.675</v>
      </c>
      <c r="M16" s="17" t="n">
        <f aca="false">M15*$C$9</f>
        <v>1133.55</v>
      </c>
    </row>
    <row r="17" customFormat="false" ht="15" hidden="false" customHeight="false" outlineLevel="0" collapsed="false">
      <c r="A17" s="15" t="s">
        <v>25</v>
      </c>
      <c r="B17" s="16" t="n">
        <f aca="false">B15-B16</f>
        <v>1070.575</v>
      </c>
      <c r="C17" s="16" t="n">
        <f aca="false">C15-C16</f>
        <v>1557.2</v>
      </c>
      <c r="D17" s="16" t="n">
        <f aca="false">D15-D16</f>
        <v>2043.825</v>
      </c>
      <c r="E17" s="16" t="n">
        <f aca="false">E15-E16</f>
        <v>2530.45</v>
      </c>
      <c r="F17" s="16" t="n">
        <f aca="false">F15-F16</f>
        <v>3017.075</v>
      </c>
      <c r="G17" s="16" t="n">
        <f aca="false">G15-G16</f>
        <v>3503.7</v>
      </c>
      <c r="H17" s="16" t="n">
        <f aca="false">H15-H16</f>
        <v>3990.325</v>
      </c>
      <c r="I17" s="16" t="n">
        <f aca="false">I15-I16</f>
        <v>4476.95</v>
      </c>
      <c r="J17" s="16" t="n">
        <f aca="false">J15-J16</f>
        <v>4963.575</v>
      </c>
      <c r="K17" s="16" t="n">
        <f aca="false">K15-K16</f>
        <v>5450.2</v>
      </c>
      <c r="L17" s="16" t="n">
        <f aca="false">L15-L16</f>
        <v>5936.825</v>
      </c>
      <c r="M17" s="16" t="n">
        <f aca="false">M15-M16</f>
        <v>6423.45</v>
      </c>
    </row>
    <row r="18" customFormat="false" ht="15" hidden="false" customHeight="false" outlineLevel="0" collapsed="false">
      <c r="A18" s="13" t="s">
        <v>26</v>
      </c>
      <c r="B18" s="17" t="n">
        <f aca="false">$C$10</f>
        <v>500</v>
      </c>
      <c r="C18" s="17" t="n">
        <f aca="false">$C$10</f>
        <v>500</v>
      </c>
      <c r="D18" s="17" t="n">
        <f aca="false">$C$10</f>
        <v>500</v>
      </c>
      <c r="E18" s="17" t="n">
        <f aca="false">$C$10</f>
        <v>500</v>
      </c>
      <c r="F18" s="17" t="n">
        <f aca="false">$C$10</f>
        <v>500</v>
      </c>
      <c r="G18" s="17" t="n">
        <f aca="false">$C$10</f>
        <v>500</v>
      </c>
      <c r="H18" s="17" t="n">
        <f aca="false">$C$10</f>
        <v>500</v>
      </c>
      <c r="I18" s="17" t="n">
        <f aca="false">$C$10</f>
        <v>500</v>
      </c>
      <c r="J18" s="17" t="n">
        <f aca="false">$C$10</f>
        <v>500</v>
      </c>
      <c r="K18" s="17" t="n">
        <f aca="false">$C$10</f>
        <v>500</v>
      </c>
      <c r="L18" s="17" t="n">
        <f aca="false">$C$10</f>
        <v>500</v>
      </c>
      <c r="M18" s="17" t="n">
        <f aca="false">$C$10</f>
        <v>500</v>
      </c>
    </row>
    <row r="19" customFormat="false" ht="21.75" hidden="false" customHeight="true" outlineLevel="0" collapsed="false">
      <c r="A19" s="18" t="s">
        <v>27</v>
      </c>
      <c r="B19" s="19" t="n">
        <f aca="false">B17-B18</f>
        <v>570.575</v>
      </c>
      <c r="C19" s="19" t="n">
        <f aca="false">C17-C18</f>
        <v>1057.2</v>
      </c>
      <c r="D19" s="19" t="n">
        <f aca="false">D17-D18</f>
        <v>1543.825</v>
      </c>
      <c r="E19" s="19" t="n">
        <f aca="false">E17-E18</f>
        <v>2030.45</v>
      </c>
      <c r="F19" s="19" t="n">
        <f aca="false">F17-F18</f>
        <v>2517.075</v>
      </c>
      <c r="G19" s="19" t="n">
        <f aca="false">G17-G18</f>
        <v>3003.7</v>
      </c>
      <c r="H19" s="19" t="n">
        <f aca="false">H17-H18</f>
        <v>3490.325</v>
      </c>
      <c r="I19" s="19" t="n">
        <f aca="false">I17-I18</f>
        <v>3976.95</v>
      </c>
      <c r="J19" s="19" t="n">
        <f aca="false">J17-J18</f>
        <v>4463.575</v>
      </c>
      <c r="K19" s="19" t="n">
        <f aca="false">K17-K18</f>
        <v>4950.2</v>
      </c>
      <c r="L19" s="19" t="n">
        <f aca="false">L17-L18</f>
        <v>5436.825</v>
      </c>
      <c r="M19" s="19" t="n">
        <f aca="false">M17-M18</f>
        <v>5923.45</v>
      </c>
    </row>
    <row r="20" customFormat="false" ht="21.75" hidden="false" customHeight="true" outlineLevel="0" collapsed="false">
      <c r="A20" s="20" t="s">
        <v>28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1" t="n">
        <f aca="false">M19</f>
        <v>5923.45</v>
      </c>
    </row>
    <row r="22" customFormat="false" ht="21.75" hidden="false" customHeight="true" outlineLevel="0" collapsed="false">
      <c r="A22" s="4" t="s">
        <v>29</v>
      </c>
      <c r="B22" s="4" t="s">
        <v>29</v>
      </c>
      <c r="C22" s="4" t="s">
        <v>29</v>
      </c>
      <c r="D22" s="4" t="s">
        <v>29</v>
      </c>
      <c r="E22" s="4" t="s">
        <v>29</v>
      </c>
      <c r="F22" s="4" t="s">
        <v>29</v>
      </c>
      <c r="G22" s="4" t="s">
        <v>29</v>
      </c>
      <c r="H22" s="4" t="s">
        <v>29</v>
      </c>
      <c r="I22" s="4" t="s">
        <v>29</v>
      </c>
      <c r="J22" s="4" t="s">
        <v>29</v>
      </c>
      <c r="K22" s="4" t="s">
        <v>29</v>
      </c>
      <c r="L22" s="4" t="s">
        <v>29</v>
      </c>
      <c r="M22" s="4" t="s">
        <v>29</v>
      </c>
    </row>
    <row r="23" customFormat="false" ht="15" hidden="false" customHeight="false" outlineLevel="0" collapsed="false">
      <c r="A23" s="15" t="s">
        <v>30</v>
      </c>
      <c r="B23" s="22" t="n">
        <f aca="false">IF(B15=0,0,(B17)/B15)</f>
        <v>0.85</v>
      </c>
      <c r="C23" s="22" t="n">
        <f aca="false">IF(C15=0,0,(C17)/C15)</f>
        <v>0.85</v>
      </c>
      <c r="D23" s="22" t="n">
        <f aca="false">IF(D15=0,0,(D17)/D15)</f>
        <v>0.85</v>
      </c>
      <c r="E23" s="22" t="n">
        <f aca="false">IF(E15=0,0,(E17)/E15)</f>
        <v>0.85</v>
      </c>
      <c r="F23" s="22" t="n">
        <f aca="false">IF(F15=0,0,(F17)/F15)</f>
        <v>0.85</v>
      </c>
      <c r="G23" s="22" t="n">
        <f aca="false">IF(G15=0,0,(G17)/G15)</f>
        <v>0.85</v>
      </c>
      <c r="H23" s="22" t="n">
        <f aca="false">IF(H15=0,0,(H17)/H15)</f>
        <v>0.85</v>
      </c>
      <c r="I23" s="22" t="n">
        <f aca="false">IF(I15=0,0,(I17)/I15)</f>
        <v>0.85</v>
      </c>
      <c r="J23" s="22" t="n">
        <f aca="false">IF(J15=0,0,(J17)/J15)</f>
        <v>0.85</v>
      </c>
      <c r="K23" s="22" t="n">
        <f aca="false">IF(K15=0,0,(K17)/K15)</f>
        <v>0.85</v>
      </c>
      <c r="L23" s="22" t="n">
        <f aca="false">IF(L15=0,0,(L17)/L15)</f>
        <v>0.85</v>
      </c>
      <c r="M23" s="22" t="n">
        <f aca="false">IF(M15=0,0,(M17)/M15)</f>
        <v>0.85</v>
      </c>
    </row>
    <row r="24" customFormat="false" ht="15" hidden="false" customHeight="false" outlineLevel="0" collapsed="false">
      <c r="A24" s="13" t="s">
        <v>31</v>
      </c>
      <c r="B24" s="23" t="n">
        <f aca="false">IF(B15=0,0,B19/B15)</f>
        <v>0.453017070265979</v>
      </c>
      <c r="C24" s="23" t="n">
        <f aca="false">IF(C15=0,0,C19/C15)</f>
        <v>0.57707423580786</v>
      </c>
      <c r="D24" s="23" t="n">
        <f aca="false">IF(D15=0,0,D19/D15)</f>
        <v>0.642056560615513</v>
      </c>
      <c r="E24" s="23" t="n">
        <f aca="false">IF(E15=0,0,E19/E15)</f>
        <v>0.682045683574068</v>
      </c>
      <c r="F24" s="23" t="n">
        <f aca="false">IF(F15=0,0,F19/F15)</f>
        <v>0.709135089449218</v>
      </c>
      <c r="G24" s="23" t="n">
        <f aca="false">IF(G15=0,0,G19/G15)</f>
        <v>0.728699660359049</v>
      </c>
      <c r="H24" s="23" t="n">
        <f aca="false">IF(H15=0,0,H19/H15)</f>
        <v>0.743492384705506</v>
      </c>
      <c r="I24" s="23" t="n">
        <f aca="false">IF(I15=0,0,I19/I15)</f>
        <v>0.75506929941143</v>
      </c>
      <c r="J24" s="23" t="n">
        <f aca="false">IF(J15=0,0,J19/J15)</f>
        <v>0.764376230841682</v>
      </c>
      <c r="K24" s="23" t="n">
        <f aca="false">IF(K15=0,0,K19/K15)</f>
        <v>0.772021210230817</v>
      </c>
      <c r="L24" s="23" t="n">
        <f aca="false">IF(L15=0,0,L19/L15)</f>
        <v>0.778412914310258</v>
      </c>
      <c r="M24" s="23" t="n">
        <f aca="false">IF(M15=0,0,M19/M15)</f>
        <v>0.783836178377663</v>
      </c>
    </row>
    <row r="26" customFormat="false" ht="15" hidden="false" customHeight="false" outlineLevel="0" collapsed="false">
      <c r="A26" s="24" t="s">
        <v>32</v>
      </c>
    </row>
    <row r="27" customFormat="false" ht="15" hidden="false" customHeight="false" outlineLevel="0" collapsed="false">
      <c r="A27" s="25" t="s">
        <v>33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customFormat="false" ht="15" hidden="false" customHeight="false" outlineLevel="0" collapsed="false">
      <c r="A28" s="25" t="s">
        <v>34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</row>
  </sheetData>
  <mergeCells count="4">
    <mergeCell ref="A1:M1"/>
    <mergeCell ref="A2:M2"/>
    <mergeCell ref="A27:M27"/>
    <mergeCell ref="A28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2026-03-27T00:56:24Z</dcterms:created>
  <dc:creator>openpyxl</dc:creator>
  <dc:description/>
  <dc:language>en-US</dc:language>
  <cp:lastModifiedBy/>
  <dcterms:modified xsi:type="dcterms:W3CDTF">2026-03-27T00:56:24Z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