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&amp;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<sst xmlns="http://schemas.openxmlformats.org/spreadsheetml/2006/main" count="18" uniqueCount="18">
  <si>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TailWag</t>
  </si>
  <si>
    <t xml:space="preserve">Monthly P&amp;L — March 2026</t>
  </si>
  <si>
    <t xml:space="preserve">REVENUE</t>
  </si>
  <si>
    <t xml:space="preserve">Growth plan (2 × $249)</t>
  </si>
  <si>
    <t xml:space="preserve">Starter plan (1 × $189)</t>
  </si>
  <si>
    <t xml:space="preserve">Total Revenue</t>
  </si>
  <si>
    <t xml:space="preserve">COST OF GOODS SOLD</t>
  </si>
  <si>
    <t xml:space="preserve">Twilio SMS</t>
  </si>
  <si>
    <t xml:space="preserve">Anthropic API</t>
  </si>
  <si>
    <t xml:space="preserve">Total COGS</t>
  </si>
  <si>
    <t xml:space="preserve">Gross Profit</t>
  </si>
  <si>
    <t xml:space="preserve">Gross Margin %</t>
  </si>
  <si>
    <t xml:space="preserve">OPERATING EXPENSES</t>
  </si>
  <si>
    <t xml:space="preserve">Render Hosting</t>
  </si>
  <si>
    <t xml:space="preserve">Total Operating Expenses</t>
  </si>
  <si>
    <t xml:space="preserve">EBITDA</t>
  </si>
  <si>
    <t xml:space="preserve">Net Income</t>
  </si>
  <si>
    <t xml:space="preserve">Net Margin %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</si>
</sst>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F1410"/>
      <name val="Arial"/>
      <family val="0"/>
      <charset val="1"/>
    </font>
    <font>
      <sz val="13"/>
      <color rgb="FF2D3748"/>
      <name val="Arial"/>
      <family val="0"/>
      <charset val="1"/>
    </font>
    <font>
      <b val="true"/>
      <sz val="11"/>
      <color rgb="FFF5F0E8"/>
      <name val="Arial"/>
      <family val="0"/>
      <charset val="1"/>
    </font>
    <font>
      <sz val="11"/>
      <color rgb="FF2D374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5F0E8"/>
        <bgColor rgb="FFFFFFFF"/>
      </patternFill>
    </fill>
    <fill>
      <patternFill patternType="solid">
        <fgColor rgb="FF1E6B4A"/>
        <bgColor rgb="FF008080"/>
      </patternFill>
    </fill>
    <fill>
      <patternFill patternType="solid">
        <fgColor rgb="FF0F1410"/>
        <bgColor rgb="FF000000"/>
      </patternFill>
    </fill>
    <fill>
      <patternFill patternType="solid">
        <fgColor rgb="FFFFFFFF"/>
        <bgColor rgb="FFF5F0E8"/>
      </patternFill>
    </fill>
    <fill>
      <patternFill patternType="solid">
        <fgColor rgb="FFC4933F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8C5B0"/>
      </left>
      <right style="thin">
        <color rgb="FFA8C5B0"/>
      </right>
      <top style="thin">
        <color rgb="FFA8C5B0"/>
      </top>
      <bottom style="thin">
        <color rgb="FFA8C5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6B4A"/>
      <rgbColor rgb="FFA8C5B0"/>
      <rgbColor rgb="FF808080"/>
      <rgbColor rgb="FF9999FF"/>
      <rgbColor rgb="FF993366"/>
      <rgbColor rgb="FFF5F0E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4933F"/>
      <rgbColor rgb="FF003366"/>
      <rgbColor rgb="FF339966"/>
      <rgbColor rgb="FF0F1410"/>
      <rgbColor rgb="FF333300"/>
      <rgbColor rgb="FF993300"/>
      <rgbColor rgb="FF993366"/>
      <rgbColor rgb="FF333399"/>
      <rgbColor rgb="FF2D37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5"/>
  </cols>
  <sheetData>
    <row r="1" customFormat="false" ht="36" hidden="false" customHeight="true" outlineLevel="0" collapsed="false">
      <c r="A1" s="1" t="s">
        <v>0</v>
      </c>
      <c r="B1" s="1"/>
    </row>
    <row r="2" customFormat="false" ht="24" hidden="false" customHeight="true" outlineLevel="0" collapsed="false">
      <c r="A2" s="2" t="s">
        <v>1</v>
      </c>
      <c r="B2" s="2"/>
    </row>
    <row r="3" customFormat="false" ht="3.75" hidden="false" customHeight="true" outlineLevel="0" collapsed="false">
      <c r="A3" s="3"/>
      <c r="B3" s="3"/>
    </row>
    <row r="4" customFormat="false" ht="21.75" hidden="false" customHeight="true" outlineLevel="0" collapsed="false">
      <c r="A4" s="4" t="s">
        <v>2</v>
      </c>
      <c r="B4" s="4"/>
    </row>
    <row r="5" customFormat="false" ht="18" hidden="false" customHeight="true" outlineLevel="0" collapsed="false">
      <c r="A5" s="5" t="s">
        <v>3</v>
      </c>
      <c r="B5" s="6" t="n">
        <v>498</v>
      </c>
    </row>
    <row r="6" customFormat="false" ht="18" hidden="false" customHeight="true" outlineLevel="0" collapsed="false">
      <c r="A6" s="7" t="s">
        <v>4</v>
      </c>
      <c r="B6" s="8" t="n">
        <v>189</v>
      </c>
    </row>
    <row r="7" customFormat="false" ht="18" hidden="false" customHeight="true" outlineLevel="0" collapsed="false">
      <c r="A7" s="9" t="s">
        <v>5</v>
      </c>
      <c r="B7" s="10" t="n">
        <f aca="false">B5+B6</f>
        <v>687</v>
      </c>
    </row>
    <row r="8" customFormat="false" ht="21.75" hidden="false" customHeight="true" outlineLevel="0" collapsed="false">
      <c r="A8" s="4" t="s">
        <v>6</v>
      </c>
      <c r="B8" s="4"/>
    </row>
    <row r="9" customFormat="false" ht="18" hidden="false" customHeight="true" outlineLevel="0" collapsed="false">
      <c r="A9" s="5" t="s">
        <v>7</v>
      </c>
      <c r="B9" s="6" t="n">
        <v>85</v>
      </c>
    </row>
    <row r="10" customFormat="false" ht="18" hidden="false" customHeight="true" outlineLevel="0" collapsed="false">
      <c r="A10" s="7" t="s">
        <v>8</v>
      </c>
      <c r="B10" s="8" t="n">
        <v>20</v>
      </c>
    </row>
    <row r="11" customFormat="false" ht="18" hidden="false" customHeight="true" outlineLevel="0" collapsed="false">
      <c r="A11" s="9" t="s">
        <v>9</v>
      </c>
      <c r="B11" s="10" t="n">
        <f aca="false">B9+B10</f>
        <v>105</v>
      </c>
    </row>
    <row r="12" customFormat="false" ht="18" hidden="false" customHeight="true" outlineLevel="0" collapsed="false">
      <c r="A12" s="9" t="s">
        <v>10</v>
      </c>
      <c r="B12" s="10" t="n">
        <f aca="false">B7-B11</f>
        <v>582</v>
      </c>
    </row>
    <row r="13" customFormat="false" ht="18" hidden="false" customHeight="true" outlineLevel="0" collapsed="false">
      <c r="A13" s="5" t="s">
        <v>11</v>
      </c>
      <c r="B13" s="11" t="n">
        <f aca="false">B12/B7</f>
        <v>0.847161572052402</v>
      </c>
    </row>
    <row r="14" customFormat="false" ht="21.75" hidden="false" customHeight="true" outlineLevel="0" collapsed="false">
      <c r="A14" s="4" t="s">
        <v>12</v>
      </c>
      <c r="B14" s="4"/>
    </row>
    <row r="15" customFormat="false" ht="18" hidden="false" customHeight="true" outlineLevel="0" collapsed="false">
      <c r="A15" s="5" t="s">
        <v>13</v>
      </c>
      <c r="B15" s="6" t="n">
        <v>49</v>
      </c>
    </row>
    <row r="16" customFormat="false" ht="18" hidden="false" customHeight="true" outlineLevel="0" collapsed="false">
      <c r="A16" s="9" t="s">
        <v>14</v>
      </c>
      <c r="B16" s="10" t="n">
        <f aca="false">B15</f>
        <v>49</v>
      </c>
    </row>
    <row r="17" customFormat="false" ht="18" hidden="false" customHeight="true" outlineLevel="0" collapsed="false">
      <c r="A17" s="9" t="s">
        <v>15</v>
      </c>
      <c r="B17" s="10" t="n">
        <f aca="false">B12-B16</f>
        <v>533</v>
      </c>
    </row>
    <row r="18" customFormat="false" ht="18" hidden="false" customHeight="true" outlineLevel="0" collapsed="false">
      <c r="A18" s="12" t="s">
        <v>16</v>
      </c>
      <c r="B18" s="13" t="n">
        <f aca="false">B17</f>
        <v>533</v>
      </c>
    </row>
    <row r="19" customFormat="false" ht="18" hidden="false" customHeight="true" outlineLevel="0" collapsed="false">
      <c r="A19" s="5" t="s">
        <v>17</v>
      </c>
      <c r="B19" s="11" t="n">
        <f aca="false">B18/B7</f>
        <v>0.775836972343523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2026-03-27T00:55:58Z</dcterms:created>
  <dc:creator>openpyxl</dc:creator>
  <dc:description/>
  <dc:language>en-US</dc:language>
  <cp:lastModifiedBy/>
  <dcterms:modified xsi:type="dcterms:W3CDTF">2026-03-27T00:55:58Z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