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way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<sst xmlns="http://schemas.openxmlformats.org/spreadsheetml/2006/main" count="16" uniqueCount="16">
  <si>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TailWag</t>
  </si>
  <si>
    <t xml:space="preserve">Runway Analysis — Current Savings</t>
  </si>
  <si>
    <t xml:space="preserve">Starting Position</t>
  </si>
  <si>
    <t xml:space="preserve">Initial Savings</t>
  </si>
  <si>
    <t xml:space="preserve">Monthly Economics</t>
  </si>
  <si>
    <t xml:space="preserve">Operating Expenses</t>
  </si>
  <si>
    <t xml:space="preserve">Monthly Revenue</t>
  </si>
  <si>
    <t xml:space="preserve">Monthly Net Burn</t>
  </si>
  <si>
    <t xml:space="preserve">Key Metrics</t>
  </si>
  <si>
    <t xml:space="preserve">Runway (months)</t>
  </si>
  <si>
    <t xml:space="preserve">Break-Even Analysis</t>
  </si>
  <si>
    <t xml:space="preserve">Current Net Burn per Month</t>
  </si>
  <si>
    <t xml:space="preserve">Revenue Target (Break-Even)</t>
  </si>
  <si>
    <t xml:space="preserve">Revenue Shortfall</t>
  </si>
  <si>
    <t xml:space="preserve">Clients Needed to Break-Even</t>
  </si>
  <si>
    <t xml:space="preserve">Note: Green text = you can edit this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</si>
</sst>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1410"/>
      <name val="Arial"/>
      <family val="0"/>
      <charset val="1"/>
    </font>
    <font>
      <sz val="13"/>
      <color rgb="FF2D3748"/>
      <name val="Arial"/>
      <family val="0"/>
      <charset val="1"/>
    </font>
    <font>
      <b val="true"/>
      <sz val="11"/>
      <color rgb="FFF5F0E8"/>
      <name val="Arial"/>
      <family val="0"/>
      <charset val="1"/>
    </font>
    <font>
      <sz val="11"/>
      <color rgb="FF2D3748"/>
      <name val="Arial"/>
      <family val="0"/>
      <charset val="1"/>
    </font>
    <font>
      <sz val="11"/>
      <color rgb="FF1E6B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1"/>
      <color rgb="FF2D374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0E8"/>
        <bgColor rgb="FFFFFFFF"/>
      </patternFill>
    </fill>
    <fill>
      <patternFill patternType="solid">
        <fgColor rgb="FF1E6B4A"/>
        <bgColor rgb="FF008080"/>
      </patternFill>
    </fill>
    <fill>
      <patternFill patternType="solid">
        <fgColor rgb="FF0F1410"/>
        <bgColor rgb="FF000000"/>
      </patternFill>
    </fill>
    <fill>
      <patternFill patternType="solid">
        <fgColor rgb="FFFFFFFF"/>
        <bgColor rgb="FFF5F0E8"/>
      </patternFill>
    </fill>
    <fill>
      <patternFill patternType="solid">
        <fgColor rgb="FFC4933F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8C5B0"/>
      </left>
      <right style="thin">
        <color rgb="FFA8C5B0"/>
      </right>
      <top style="thin">
        <color rgb="FFA8C5B0"/>
      </top>
      <bottom style="thin">
        <color rgb="FFA8C5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A8C5B0"/>
      <rgbColor rgb="FF808080"/>
      <rgbColor rgb="FF9999FF"/>
      <rgbColor rgb="FF993366"/>
      <rgbColor rgb="FFF5F0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4933F"/>
      <rgbColor rgb="FF003366"/>
      <rgbColor rgb="FF339966"/>
      <rgbColor rgb="FF0F141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36" hidden="false" customHeight="true" outlineLevel="0" collapsed="false">
      <c r="A1" s="1" t="s">
        <v>0</v>
      </c>
      <c r="B1" s="1"/>
    </row>
    <row r="2" customFormat="false" ht="24" hidden="false" customHeight="true" outlineLevel="0" collapsed="false">
      <c r="A2" s="2" t="s">
        <v>1</v>
      </c>
      <c r="B2" s="2"/>
    </row>
    <row r="3" customFormat="false" ht="3.75" hidden="false" customHeight="true" outlineLevel="0" collapsed="false">
      <c r="A3" s="3"/>
      <c r="B3" s="3"/>
    </row>
    <row r="5" customFormat="false" ht="21.75" hidden="false" customHeight="true" outlineLevel="0" collapsed="false">
      <c r="A5" s="4" t="s">
        <v>2</v>
      </c>
      <c r="B5" s="4"/>
    </row>
    <row r="6" customFormat="false" ht="15" hidden="false" customHeight="false" outlineLevel="0" collapsed="false">
      <c r="A6" s="5" t="s">
        <v>3</v>
      </c>
      <c r="B6" s="6" t="n">
        <v>15000</v>
      </c>
    </row>
    <row r="8" customFormat="false" ht="21.75" hidden="false" customHeight="true" outlineLevel="0" collapsed="false">
      <c r="A8" s="4" t="s">
        <v>4</v>
      </c>
      <c r="B8" s="4"/>
    </row>
    <row r="9" customFormat="false" ht="15" hidden="false" customHeight="false" outlineLevel="0" collapsed="false">
      <c r="A9" s="5" t="s">
        <v>5</v>
      </c>
      <c r="B9" s="6" t="n">
        <v>500</v>
      </c>
    </row>
    <row r="10" customFormat="false" ht="15" hidden="false" customHeight="false" outlineLevel="0" collapsed="false">
      <c r="A10" s="7" t="s">
        <v>6</v>
      </c>
      <c r="B10" s="8" t="n">
        <v>687</v>
      </c>
    </row>
    <row r="11" customFormat="false" ht="15" hidden="false" customHeight="false" outlineLevel="0" collapsed="false">
      <c r="A11" s="5" t="s">
        <v>7</v>
      </c>
      <c r="B11" s="6" t="n">
        <f aca="false">B10-B9</f>
        <v>187</v>
      </c>
    </row>
    <row r="13" customFormat="false" ht="21.75" hidden="false" customHeight="true" outlineLevel="0" collapsed="false">
      <c r="A13" s="4" t="s">
        <v>8</v>
      </c>
      <c r="B13" s="4"/>
    </row>
    <row r="14" customFormat="false" ht="15" hidden="false" customHeight="false" outlineLevel="0" collapsed="false">
      <c r="A14" s="9" t="s">
        <v>9</v>
      </c>
      <c r="B14" s="10" t="n">
        <f aca="false">IF(B11=0, "Unlimited", ROUND(B6/ABS(B11), 1))</f>
        <v>80.2</v>
      </c>
    </row>
    <row r="16" customFormat="false" ht="21.75" hidden="false" customHeight="true" outlineLevel="0" collapsed="false">
      <c r="A16" s="4" t="s">
        <v>10</v>
      </c>
      <c r="B16" s="4"/>
    </row>
    <row r="17" customFormat="false" ht="15" hidden="false" customHeight="false" outlineLevel="0" collapsed="false">
      <c r="A17" s="5" t="s">
        <v>11</v>
      </c>
      <c r="B17" s="6" t="n">
        <f aca="false">B11</f>
        <v>187</v>
      </c>
    </row>
    <row r="18" customFormat="false" ht="15" hidden="false" customHeight="false" outlineLevel="0" collapsed="false">
      <c r="A18" s="9" t="s">
        <v>12</v>
      </c>
      <c r="B18" s="11" t="n">
        <f aca="false">B9</f>
        <v>500</v>
      </c>
    </row>
    <row r="19" customFormat="false" ht="15" hidden="false" customHeight="false" outlineLevel="0" collapsed="false">
      <c r="A19" s="7" t="s">
        <v>13</v>
      </c>
      <c r="B19" s="12" t="n">
        <f aca="false">B18-B10</f>
        <v>-187</v>
      </c>
    </row>
    <row r="20" customFormat="false" ht="15" hidden="false" customHeight="false" outlineLevel="0" collapsed="false">
      <c r="A20" s="5" t="s">
        <v>14</v>
      </c>
      <c r="B20" s="13" t="n">
        <f aca="false">ROUND(B19/229, 0)</f>
        <v>-1</v>
      </c>
    </row>
    <row r="22" customFormat="false" ht="15" hidden="false" customHeight="false" outlineLevel="0" collapsed="false">
      <c r="A22" s="14" t="s">
        <v>15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2026-03-27T00:57:11Z</dcterms:created>
  <dc:creator>openpyxl</dc:creator>
  <dc:description/>
  <dc:language>en-US</dc:language>
  <cp:lastModifiedBy/>
  <dcterms:modified xsi:type="dcterms:W3CDTF">2026-03-27T00:57:11Z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