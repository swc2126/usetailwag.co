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way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<sst xmlns="http://schemas.openxmlformats.org/spreadsheetml/2006/main" count="30" uniqueCount="30">
  <si>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TailWag</t>
  </si>
  <si>
    <t xml:space="preserve">Runway Analysis &amp; Break-Even Forecast</t>
  </si>
  <si>
    <t xml:space="preserve">ASSUMPTIONS</t>
  </si>
  <si>
    <t xml:space="preserve">Initial Savings</t>
  </si>
  <si>
    <t xml:space="preserve">Green = editable input</t>
  </si>
  <si>
    <t xml:space="preserve">Monthly Burn Rate</t>
  </si>
  <si>
    <t xml:space="preserve">Hosting, APIs, gas</t>
  </si>
  <si>
    <t xml:space="preserve">Current Monthly Revenue</t>
  </si>
  <si>
    <t xml:space="preserve">3 clients × $229/mo avg</t>
  </si>
  <si>
    <t xml:space="preserve">KEY METRICS</t>
  </si>
  <si>
    <t xml:space="preserve">Monthly Burn (Expenses - Revenue)</t>
  </si>
  <si>
    <t xml:space="preserve">Monthly Burn Rate (as % of savings)</t>
  </si>
  <si>
    <t xml:space="preserve">Runway Analysis</t>
  </si>
  <si>
    <t xml:space="preserve">Months Until Cash Depleted</t>
  </si>
  <si>
    <t xml:space="preserve">Months Until Break-Even</t>
  </si>
  <si>
    <t xml:space="preserve">(see scenarios below)</t>
  </si>
  <si>
    <t xml:space="preserve">BREAK-EVEN SCENARIOS</t>
  </si>
  <si>
    <t xml:space="preserve">Scenario</t>
  </si>
  <si>
    <t xml:space="preserve">Target Monthly Revenue</t>
  </si>
  <si>
    <t xml:space="preserve">Additional Revenue Needed</t>
  </si>
  <si>
    <t xml:space="preserve">Break-Even (Cash Neutral)</t>
  </si>
  <si>
    <t xml:space="preserve">Safe Harbor (6-mo savings buffer)</t>
  </si>
  <si>
    <t xml:space="preserve">Growth Target (3x revenue in 12mo)</t>
  </si>
  <si>
    <t xml:space="preserve">MONTHLY CASH PROJECTION</t>
  </si>
  <si>
    <t xml:space="preserve">Month</t>
  </si>
  <si>
    <t xml:space="preserve">Revenue</t>
  </si>
  <si>
    <t xml:space="preserve">Expenses</t>
  </si>
  <si>
    <t xml:space="preserve">Monthly Burn</t>
  </si>
  <si>
    <t xml:space="preserve">Cash Balance</t>
  </si>
  <si>
    <t xml:space="preserve">Total (12 months)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</si>
</sst>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;&quot;($&quot;#,##0\);\-"/>
    <numFmt numFmtId="167" formatCode="0.0%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410"/>
      <name val="Cambria"/>
      <family val="0"/>
      <charset val="1"/>
    </font>
    <font>
      <sz val="11"/>
      <color rgb="FF2D3748"/>
      <name val="Cambria"/>
      <family val="0"/>
      <charset val="1"/>
    </font>
    <font>
      <b val="true"/>
      <sz val="12"/>
      <color rgb="FFF5F0E8"/>
      <name val="Cambria"/>
      <family val="0"/>
      <charset val="1"/>
    </font>
    <font>
      <sz val="11"/>
      <color rgb="FF1E6B4A"/>
      <name val="Cambria"/>
      <family val="0"/>
      <charset val="1"/>
    </font>
    <font>
      <i val="true"/>
      <sz val="9"/>
      <color rgb="FF2D3748"/>
      <name val="Cambria"/>
      <family val="0"/>
      <charset val="1"/>
    </font>
    <font>
      <b val="true"/>
      <sz val="12"/>
      <color rgb="FFC4933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410"/>
        <bgColor rgb="FF000000"/>
      </patternFill>
    </fill>
    <fill>
      <patternFill patternType="solid">
        <fgColor rgb="FFF5F0E8"/>
        <bgColor rgb="FFFFFFFF"/>
      </patternFill>
    </fill>
    <fill>
      <patternFill patternType="solid">
        <fgColor rgb="FF1E6B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8C5B0"/>
      </left>
      <right style="thin">
        <color rgb="FFA8C5B0"/>
      </right>
      <top style="thin">
        <color rgb="FFA8C5B0"/>
      </top>
      <bottom style="thin">
        <color rgb="FFA8C5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A8C5B0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933F"/>
      <rgbColor rgb="FF003366"/>
      <rgbColor rgb="FF339966"/>
      <rgbColor rgb="FF0F141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8"/>
  </cols>
  <sheetData>
    <row r="1" customFormat="false" ht="19.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15000</v>
      </c>
      <c r="C5" s="7" t="s">
        <v>4</v>
      </c>
    </row>
    <row r="6" customFormat="false" ht="15" hidden="false" customHeight="false" outlineLevel="0" collapsed="false">
      <c r="A6" s="5" t="s">
        <v>5</v>
      </c>
      <c r="B6" s="6" t="n">
        <v>500</v>
      </c>
      <c r="C6" s="7" t="s">
        <v>6</v>
      </c>
    </row>
    <row r="7" customFormat="false" ht="15" hidden="false" customHeight="false" outlineLevel="0" collapsed="false">
      <c r="A7" s="5" t="s">
        <v>7</v>
      </c>
      <c r="B7" s="6" t="n">
        <v>687</v>
      </c>
      <c r="C7" s="7" t="s">
        <v>8</v>
      </c>
    </row>
    <row r="9" customFormat="false" ht="18" hidden="false" customHeight="true" outlineLevel="0" collapsed="false">
      <c r="A9" s="3" t="s">
        <v>9</v>
      </c>
      <c r="B9" s="4"/>
      <c r="C9" s="4"/>
    </row>
    <row r="10" customFormat="false" ht="15" hidden="false" customHeight="false" outlineLevel="0" collapsed="false">
      <c r="A10" s="5" t="s">
        <v>10</v>
      </c>
      <c r="B10" s="8" t="n">
        <f aca="false">B6-B7</f>
        <v>-187</v>
      </c>
    </row>
    <row r="11" customFormat="false" ht="15" hidden="false" customHeight="false" outlineLevel="0" collapsed="false">
      <c r="A11" s="5" t="s">
        <v>11</v>
      </c>
      <c r="B11" s="9" t="n">
        <f aca="false">B10/B5</f>
        <v>-0.0124666666666667</v>
      </c>
    </row>
    <row r="13" customFormat="false" ht="18" hidden="false" customHeight="true" outlineLevel="0" collapsed="false">
      <c r="A13" s="10" t="s">
        <v>12</v>
      </c>
      <c r="B13" s="4"/>
    </row>
    <row r="14" customFormat="false" ht="15" hidden="false" customHeight="false" outlineLevel="0" collapsed="false">
      <c r="A14" s="5" t="s">
        <v>13</v>
      </c>
      <c r="B14" s="11" t="n">
        <f aca="false">IF(B10&lt;=0, 999, B5/B10)</f>
        <v>999</v>
      </c>
    </row>
    <row r="15" customFormat="false" ht="15" hidden="false" customHeight="false" outlineLevel="0" collapsed="false">
      <c r="A15" s="5" t="s">
        <v>14</v>
      </c>
      <c r="B15" s="5" t="n">
        <f aca="false">IF(B6&lt;=B7, 0, "At current growth")</f>
        <v>0</v>
      </c>
      <c r="C15" s="0" t="s">
        <v>15</v>
      </c>
    </row>
    <row r="17" customFormat="false" ht="18" hidden="false" customHeight="true" outlineLevel="0" collapsed="false">
      <c r="A17" s="10" t="s">
        <v>16</v>
      </c>
      <c r="B17" s="4"/>
      <c r="C17" s="4"/>
    </row>
    <row r="18" customFormat="false" ht="18" hidden="false" customHeight="true" outlineLevel="0" collapsed="false">
      <c r="A18" s="3" t="s">
        <v>17</v>
      </c>
      <c r="B18" s="3" t="s">
        <v>18</v>
      </c>
      <c r="C18" s="3" t="s">
        <v>19</v>
      </c>
    </row>
    <row r="19" customFormat="false" ht="15" hidden="false" customHeight="false" outlineLevel="0" collapsed="false">
      <c r="A19" s="5" t="s">
        <v>20</v>
      </c>
      <c r="B19" s="12" t="n">
        <f aca="false">B6</f>
        <v>500</v>
      </c>
      <c r="C19" s="13" t="n">
        <f aca="false">B19-B7</f>
        <v>-187</v>
      </c>
    </row>
    <row r="20" customFormat="false" ht="15" hidden="false" customHeight="false" outlineLevel="0" collapsed="false">
      <c r="A20" s="14" t="s">
        <v>21</v>
      </c>
      <c r="B20" s="15" t="n">
        <f aca="false">B6+(B5/6)</f>
        <v>3000</v>
      </c>
      <c r="C20" s="16" t="n">
        <f aca="false">B20-B7</f>
        <v>2313</v>
      </c>
    </row>
    <row r="21" customFormat="false" ht="15" hidden="false" customHeight="false" outlineLevel="0" collapsed="false">
      <c r="A21" s="5" t="s">
        <v>22</v>
      </c>
      <c r="B21" s="12" t="n">
        <f aca="false">B7*3</f>
        <v>2061</v>
      </c>
      <c r="C21" s="13" t="n">
        <f aca="false">B21-B7</f>
        <v>1374</v>
      </c>
    </row>
    <row r="23" customFormat="false" ht="18" hidden="false" customHeight="true" outlineLevel="0" collapsed="false">
      <c r="A23" s="10" t="s">
        <v>23</v>
      </c>
      <c r="B23" s="4"/>
      <c r="C23" s="4"/>
      <c r="D23" s="4"/>
      <c r="E23" s="4"/>
    </row>
    <row r="24" customFormat="false" ht="18" hidden="false" customHeight="true" outlineLevel="0" collapsed="false">
      <c r="A24" s="17" t="s">
        <v>24</v>
      </c>
      <c r="B24" s="17" t="s">
        <v>25</v>
      </c>
      <c r="C24" s="17" t="s">
        <v>26</v>
      </c>
      <c r="D24" s="17" t="s">
        <v>27</v>
      </c>
      <c r="E24" s="17" t="s">
        <v>28</v>
      </c>
    </row>
    <row r="25" customFormat="false" ht="15" hidden="false" customHeight="false" outlineLevel="0" collapsed="false">
      <c r="A25" s="18" t="n">
        <v>1</v>
      </c>
      <c r="B25" s="12" t="n">
        <f aca="false">$B$7</f>
        <v>687</v>
      </c>
      <c r="C25" s="12" t="n">
        <f aca="false">$B$6</f>
        <v>500</v>
      </c>
      <c r="D25" s="13" t="n">
        <f aca="false">C25-B25</f>
        <v>-187</v>
      </c>
      <c r="E25" s="13" t="n">
        <f aca="false">$B$5+D25</f>
        <v>14813</v>
      </c>
    </row>
    <row r="26" customFormat="false" ht="15" hidden="false" customHeight="false" outlineLevel="0" collapsed="false">
      <c r="A26" s="19" t="n">
        <v>2</v>
      </c>
      <c r="B26" s="15" t="n">
        <f aca="false">B25*1.05</f>
        <v>721.35</v>
      </c>
      <c r="C26" s="15" t="n">
        <f aca="false">$B$6</f>
        <v>500</v>
      </c>
      <c r="D26" s="16" t="n">
        <f aca="false">C26-B26</f>
        <v>-221.35</v>
      </c>
      <c r="E26" s="16" t="n">
        <f aca="false">E25+D26</f>
        <v>14591.65</v>
      </c>
    </row>
    <row r="27" customFormat="false" ht="15" hidden="false" customHeight="false" outlineLevel="0" collapsed="false">
      <c r="A27" s="18" t="n">
        <v>3</v>
      </c>
      <c r="B27" s="12" t="n">
        <f aca="false">B26*1.05</f>
        <v>757.4175</v>
      </c>
      <c r="C27" s="12" t="n">
        <f aca="false">$B$6</f>
        <v>500</v>
      </c>
      <c r="D27" s="13" t="n">
        <f aca="false">C27-B27</f>
        <v>-257.4175</v>
      </c>
      <c r="E27" s="13" t="n">
        <f aca="false">E26+D27</f>
        <v>14334.2325</v>
      </c>
    </row>
    <row r="28" customFormat="false" ht="15" hidden="false" customHeight="false" outlineLevel="0" collapsed="false">
      <c r="A28" s="19" t="n">
        <v>4</v>
      </c>
      <c r="B28" s="15" t="n">
        <f aca="false">B27*1.05</f>
        <v>795.288375</v>
      </c>
      <c r="C28" s="15" t="n">
        <f aca="false">$B$6</f>
        <v>500</v>
      </c>
      <c r="D28" s="16" t="n">
        <f aca="false">C28-B28</f>
        <v>-295.288375</v>
      </c>
      <c r="E28" s="16" t="n">
        <f aca="false">E27+D28</f>
        <v>14038.944125</v>
      </c>
    </row>
    <row r="29" customFormat="false" ht="15" hidden="false" customHeight="false" outlineLevel="0" collapsed="false">
      <c r="A29" s="18" t="n">
        <v>5</v>
      </c>
      <c r="B29" s="12" t="n">
        <f aca="false">B28*1.05</f>
        <v>835.05279375</v>
      </c>
      <c r="C29" s="12" t="n">
        <f aca="false">$B$6</f>
        <v>500</v>
      </c>
      <c r="D29" s="13" t="n">
        <f aca="false">C29-B29</f>
        <v>-335.05279375</v>
      </c>
      <c r="E29" s="13" t="n">
        <f aca="false">E28+D29</f>
        <v>13703.89133125</v>
      </c>
    </row>
    <row r="30" customFormat="false" ht="15" hidden="false" customHeight="false" outlineLevel="0" collapsed="false">
      <c r="A30" s="19" t="n">
        <v>6</v>
      </c>
      <c r="B30" s="15" t="n">
        <f aca="false">B29*1.05</f>
        <v>876.8054334375</v>
      </c>
      <c r="C30" s="15" t="n">
        <f aca="false">$B$6</f>
        <v>500</v>
      </c>
      <c r="D30" s="16" t="n">
        <f aca="false">C30-B30</f>
        <v>-376.8054334375</v>
      </c>
      <c r="E30" s="16" t="n">
        <f aca="false">E29+D30</f>
        <v>13327.0858978125</v>
      </c>
    </row>
    <row r="31" customFormat="false" ht="15" hidden="false" customHeight="false" outlineLevel="0" collapsed="false">
      <c r="A31" s="18" t="n">
        <v>7</v>
      </c>
      <c r="B31" s="12" t="n">
        <f aca="false">B30*1.05</f>
        <v>920.645705109375</v>
      </c>
      <c r="C31" s="12" t="n">
        <f aca="false">$B$6</f>
        <v>500</v>
      </c>
      <c r="D31" s="13" t="n">
        <f aca="false">C31-B31</f>
        <v>-420.645705109375</v>
      </c>
      <c r="E31" s="13" t="n">
        <f aca="false">E30+D31</f>
        <v>12906.4401927031</v>
      </c>
    </row>
    <row r="32" customFormat="false" ht="15" hidden="false" customHeight="false" outlineLevel="0" collapsed="false">
      <c r="A32" s="19" t="n">
        <v>8</v>
      </c>
      <c r="B32" s="15" t="n">
        <f aca="false">B31*1.05</f>
        <v>966.677990364844</v>
      </c>
      <c r="C32" s="15" t="n">
        <f aca="false">$B$6</f>
        <v>500</v>
      </c>
      <c r="D32" s="16" t="n">
        <f aca="false">C32-B32</f>
        <v>-466.677990364844</v>
      </c>
      <c r="E32" s="16" t="n">
        <f aca="false">E31+D32</f>
        <v>12439.7622023383</v>
      </c>
    </row>
    <row r="33" customFormat="false" ht="15" hidden="false" customHeight="false" outlineLevel="0" collapsed="false">
      <c r="A33" s="18" t="n">
        <v>9</v>
      </c>
      <c r="B33" s="12" t="n">
        <f aca="false">B32*1.05</f>
        <v>1015.01188988309</v>
      </c>
      <c r="C33" s="12" t="n">
        <f aca="false">$B$6</f>
        <v>500</v>
      </c>
      <c r="D33" s="13" t="n">
        <f aca="false">C33-B33</f>
        <v>-515.011889883086</v>
      </c>
      <c r="E33" s="13" t="n">
        <f aca="false">E32+D33</f>
        <v>11924.7503124552</v>
      </c>
    </row>
    <row r="34" customFormat="false" ht="15" hidden="false" customHeight="false" outlineLevel="0" collapsed="false">
      <c r="A34" s="19" t="n">
        <v>10</v>
      </c>
      <c r="B34" s="15" t="n">
        <f aca="false">B33*1.05</f>
        <v>1065.76248437724</v>
      </c>
      <c r="C34" s="15" t="n">
        <f aca="false">$B$6</f>
        <v>500</v>
      </c>
      <c r="D34" s="16" t="n">
        <f aca="false">C34-B34</f>
        <v>-565.762484377241</v>
      </c>
      <c r="E34" s="16" t="n">
        <f aca="false">E33+D34</f>
        <v>11358.987828078</v>
      </c>
    </row>
    <row r="35" customFormat="false" ht="15" hidden="false" customHeight="false" outlineLevel="0" collapsed="false">
      <c r="A35" s="18" t="n">
        <v>11</v>
      </c>
      <c r="B35" s="12" t="n">
        <f aca="false">B34*1.05</f>
        <v>1119.0506085961</v>
      </c>
      <c r="C35" s="12" t="n">
        <f aca="false">$B$6</f>
        <v>500</v>
      </c>
      <c r="D35" s="13" t="n">
        <f aca="false">C35-B35</f>
        <v>-619.050608596103</v>
      </c>
      <c r="E35" s="13" t="n">
        <f aca="false">E34+D35</f>
        <v>10739.9372194819</v>
      </c>
    </row>
    <row r="36" customFormat="false" ht="15" hidden="false" customHeight="false" outlineLevel="0" collapsed="false">
      <c r="A36" s="19" t="n">
        <v>12</v>
      </c>
      <c r="B36" s="15" t="n">
        <f aca="false">B35*1.05</f>
        <v>1175.00313902591</v>
      </c>
      <c r="C36" s="15" t="n">
        <f aca="false">$B$6</f>
        <v>500</v>
      </c>
      <c r="D36" s="16" t="n">
        <f aca="false">C36-B36</f>
        <v>-675.003139025908</v>
      </c>
      <c r="E36" s="16" t="n">
        <f aca="false">E35+D36</f>
        <v>10064.9340804559</v>
      </c>
    </row>
    <row r="37" customFormat="false" ht="18" hidden="false" customHeight="true" outlineLevel="0" collapsed="false">
      <c r="A37" s="20" t="s">
        <v>29</v>
      </c>
      <c r="B37" s="21" t="n">
        <f aca="false">SUM(B25:B36)</f>
        <v>10935.0659195441</v>
      </c>
      <c r="C37" s="21" t="n">
        <f aca="false">SUM(C25:C36)</f>
        <v>6000</v>
      </c>
      <c r="D37" s="22" t="n">
        <f aca="false">SUM(D25:D36)</f>
        <v>-4935.06591954406</v>
      </c>
      <c r="E37" s="22" t="n">
        <f aca="false">E36</f>
        <v>10064.9340804559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2026-03-27T00:45:54Z</dcterms:created>
  <dc:creator>openpyxl</dc:creator>
  <dc:description/>
  <dc:language>en-US</dc:language>
  <cp:lastModifiedBy/>
  <dcterms:modified xsi:type="dcterms:W3CDTF">2026-03-27T00:45:54Z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