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Month Foreca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<sst xmlns="http://schemas.openxmlformats.org/spreadsheetml/2006/main" count="33" uniqueCount="33">
  <si>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TailWag</t>
  </si>
  <si>
    <t xml:space="preserve">12-Month Financial Forecast</t>
  </si>
  <si>
    <t xml:space="preserve">ASSUMPTIONS</t>
  </si>
  <si>
    <t xml:space="preserve">Starting Clients</t>
  </si>
  <si>
    <t xml:space="preserve">Average Revenue per Client ($/mo)</t>
  </si>
  <si>
    <t xml:space="preserve">New Clients Added per Month</t>
  </si>
  <si>
    <t xml:space="preserve">Variable Costs (% of Revenue)</t>
  </si>
  <si>
    <t xml:space="preserve">Fixed Costs ($/mo)</t>
  </si>
  <si>
    <t xml:space="preserve">New Clients per Month (detail adjustment)</t>
  </si>
  <si>
    <t xml:space="preserve">MONTHLY FINANCIAL FORECAST</t>
  </si>
  <si>
    <t xml:space="preserve">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</si>
  <si>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</si>
  <si>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</si>
  <si>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</si>
  <si>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</si>
  <si>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</si>
  <si>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</si>
  <si>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</si>
  <si>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</si>
  <si>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</si>
  <si>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</si>
  <si>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</si>
  <si>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</si>
  <si>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Beginning Clients</t>
  </si>
  <si>
    <t xml:space="preserve">New Clients Added</t>
  </si>
  <si>
    <t xml:space="preserve">Ending Clients</t>
  </si>
  <si>
    <t xml:space="preserve">Revenue</t>
  </si>
  <si>
    <t xml:space="preserve">Variable Costs (15% of Revenue)</t>
  </si>
  <si>
    <t xml:space="preserve">Gross Profit</t>
  </si>
  <si>
    <t xml:space="preserve">Gross Margin %</t>
  </si>
  <si>
    <t xml:space="preserve">Fixed Costs</t>
  </si>
  <si>
    <t xml:space="preserve">EBITDA</t>
  </si>
  <si>
    <t xml:space="preserve">EBITDA Margin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</si>
</sst>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\$#,##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410"/>
      <name val="Arial"/>
      <family val="0"/>
      <charset val="1"/>
    </font>
    <font>
      <sz val="11"/>
      <color rgb="FF2D374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6B4A"/>
      <name val="Arial"/>
      <family val="0"/>
      <charset val="1"/>
    </font>
    <font>
      <sz val="9"/>
      <color rgb="FF2D3748"/>
      <name val="Arial"/>
      <family val="0"/>
      <charset val="1"/>
    </font>
    <font>
      <b val="true"/>
      <sz val="11"/>
      <color rgb="FFF5F0E8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10"/>
      <color rgb="FF1E6B4A"/>
      <name val="Arial"/>
      <family val="0"/>
      <charset val="1"/>
    </font>
    <font>
      <b val="true"/>
      <sz val="10"/>
      <color rgb="FF2D374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41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8C5B0"/>
      </left>
      <right style="thin">
        <color rgb="FFA8C5B0"/>
      </right>
      <top style="thin">
        <color rgb="FFA8C5B0"/>
      </top>
      <bottom style="thin">
        <color rgb="FFA8C5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A8C5B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41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4"/>
  </cols>
  <sheetData>
    <row r="1" customFormat="false" ht="19.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3" customFormat="false" ht="1.5" hidden="false" customHeight="true" outlineLevel="0" collapsed="false"/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3</v>
      </c>
    </row>
    <row r="6" customFormat="false" ht="15" hidden="false" customHeight="false" outlineLevel="0" collapsed="false">
      <c r="A6" s="0" t="s">
        <v>4</v>
      </c>
      <c r="B6" s="4" t="n">
        <v>229</v>
      </c>
    </row>
    <row r="7" customFormat="false" ht="15" hidden="false" customHeight="false" outlineLevel="0" collapsed="false">
      <c r="A7" s="0" t="s">
        <v>5</v>
      </c>
      <c r="B7" s="4" t="n">
        <v>2.5</v>
      </c>
    </row>
    <row r="8" customFormat="false" ht="15" hidden="false" customHeight="false" outlineLevel="0" collapsed="false">
      <c r="A8" s="0" t="s">
        <v>6</v>
      </c>
      <c r="B8" s="4" t="n">
        <v>0.15</v>
      </c>
    </row>
    <row r="9" customFormat="false" ht="15" hidden="false" customHeight="false" outlineLevel="0" collapsed="false">
      <c r="A9" s="0" t="s">
        <v>7</v>
      </c>
      <c r="B9" s="4" t="n">
        <v>500</v>
      </c>
    </row>
    <row r="10" customFormat="false" ht="15" hidden="false" customHeight="false" outlineLevel="0" collapsed="false">
      <c r="A10" s="5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6" t="s">
        <v>10</v>
      </c>
      <c r="B14" s="7" t="s">
        <v>11</v>
      </c>
      <c r="C14" s="7" t="s">
        <v>12</v>
      </c>
      <c r="D14" s="7" t="s">
        <v>13</v>
      </c>
      <c r="E14" s="7" t="s">
        <v>14</v>
      </c>
      <c r="F14" s="7" t="s">
        <v>15</v>
      </c>
      <c r="G14" s="7" t="s">
        <v>16</v>
      </c>
      <c r="H14" s="7" t="s">
        <v>17</v>
      </c>
      <c r="I14" s="7" t="s">
        <v>18</v>
      </c>
      <c r="J14" s="7" t="s">
        <v>19</v>
      </c>
      <c r="K14" s="7" t="s">
        <v>20</v>
      </c>
      <c r="L14" s="7" t="s">
        <v>21</v>
      </c>
      <c r="M14" s="7" t="s">
        <v>22</v>
      </c>
    </row>
    <row r="15" customFormat="false" ht="15" hidden="false" customHeight="false" outlineLevel="0" collapsed="false">
      <c r="A15" s="8" t="s">
        <v>23</v>
      </c>
      <c r="B15" s="9" t="n">
        <f aca="false">$B$5</f>
        <v>3</v>
      </c>
      <c r="C15" s="9" t="n">
        <f aca="false">B17</f>
        <v>5.5</v>
      </c>
      <c r="D15" s="9" t="n">
        <f aca="false">C17</f>
        <v>8</v>
      </c>
      <c r="E15" s="9" t="n">
        <f aca="false">D17</f>
        <v>10.5</v>
      </c>
      <c r="F15" s="9" t="n">
        <f aca="false">E17</f>
        <v>13</v>
      </c>
      <c r="G15" s="9" t="n">
        <f aca="false">F17</f>
        <v>15.5</v>
      </c>
      <c r="H15" s="9" t="n">
        <f aca="false">G17</f>
        <v>18</v>
      </c>
      <c r="I15" s="9" t="n">
        <f aca="false">H17</f>
        <v>20.5</v>
      </c>
      <c r="J15" s="9" t="n">
        <f aca="false">I17</f>
        <v>23</v>
      </c>
      <c r="K15" s="9" t="n">
        <f aca="false">J17</f>
        <v>25.5</v>
      </c>
      <c r="L15" s="9" t="n">
        <f aca="false">K17</f>
        <v>28</v>
      </c>
      <c r="M15" s="9" t="n">
        <f aca="false">L17</f>
        <v>30.5</v>
      </c>
    </row>
    <row r="16" customFormat="false" ht="15" hidden="false" customHeight="false" outlineLevel="0" collapsed="false">
      <c r="A16" s="8" t="s">
        <v>24</v>
      </c>
      <c r="B16" s="10" t="n">
        <f aca="false">$B$7</f>
        <v>2.5</v>
      </c>
      <c r="C16" s="10" t="n">
        <f aca="false">$B$7</f>
        <v>2.5</v>
      </c>
      <c r="D16" s="10" t="n">
        <f aca="false">$B$7</f>
        <v>2.5</v>
      </c>
      <c r="E16" s="10" t="n">
        <f aca="false">$B$7</f>
        <v>2.5</v>
      </c>
      <c r="F16" s="10" t="n">
        <f aca="false">$B$7</f>
        <v>2.5</v>
      </c>
      <c r="G16" s="10" t="n">
        <f aca="false">$B$7</f>
        <v>2.5</v>
      </c>
      <c r="H16" s="10" t="n">
        <f aca="false">$B$7</f>
        <v>2.5</v>
      </c>
      <c r="I16" s="10" t="n">
        <f aca="false">$B$7</f>
        <v>2.5</v>
      </c>
      <c r="J16" s="10" t="n">
        <f aca="false">$B$7</f>
        <v>2.5</v>
      </c>
      <c r="K16" s="10" t="n">
        <f aca="false">$B$7</f>
        <v>2.5</v>
      </c>
      <c r="L16" s="10" t="n">
        <f aca="false">$B$7</f>
        <v>2.5</v>
      </c>
      <c r="M16" s="10" t="n">
        <f aca="false">$B$7</f>
        <v>2.5</v>
      </c>
    </row>
    <row r="17" customFormat="false" ht="15" hidden="false" customHeight="false" outlineLevel="0" collapsed="false">
      <c r="A17" s="11" t="s">
        <v>25</v>
      </c>
      <c r="B17" s="12" t="n">
        <f aca="false">B15+B16</f>
        <v>5.5</v>
      </c>
      <c r="C17" s="12" t="n">
        <f aca="false">C15+C16</f>
        <v>8</v>
      </c>
      <c r="D17" s="12" t="n">
        <f aca="false">D15+D16</f>
        <v>10.5</v>
      </c>
      <c r="E17" s="12" t="n">
        <f aca="false">E15+E16</f>
        <v>13</v>
      </c>
      <c r="F17" s="12" t="n">
        <f aca="false">F15+F16</f>
        <v>15.5</v>
      </c>
      <c r="G17" s="12" t="n">
        <f aca="false">G15+G16</f>
        <v>18</v>
      </c>
      <c r="H17" s="12" t="n">
        <f aca="false">H15+H16</f>
        <v>20.5</v>
      </c>
      <c r="I17" s="12" t="n">
        <f aca="false">I15+I16</f>
        <v>23</v>
      </c>
      <c r="J17" s="12" t="n">
        <f aca="false">J15+J16</f>
        <v>25.5</v>
      </c>
      <c r="K17" s="12" t="n">
        <f aca="false">K15+K16</f>
        <v>28</v>
      </c>
      <c r="L17" s="12" t="n">
        <f aca="false">L15+L16</f>
        <v>30.5</v>
      </c>
      <c r="M17" s="12" t="n">
        <f aca="false">M15+M16</f>
        <v>33</v>
      </c>
    </row>
    <row r="18" customFormat="false" ht="1.5" hidden="false" customHeight="true" outlineLevel="0" collapsed="false"/>
    <row r="19" customFormat="false" ht="15" hidden="false" customHeight="false" outlineLevel="0" collapsed="false">
      <c r="A19" s="13" t="s">
        <v>26</v>
      </c>
      <c r="B19" s="14" t="n">
        <f aca="false">B17*$B$6</f>
        <v>1259.5</v>
      </c>
      <c r="C19" s="14" t="n">
        <f aca="false">C17*$B$6</f>
        <v>1832</v>
      </c>
      <c r="D19" s="14" t="n">
        <f aca="false">D17*$B$6</f>
        <v>2404.5</v>
      </c>
      <c r="E19" s="14" t="n">
        <f aca="false">E17*$B$6</f>
        <v>2977</v>
      </c>
      <c r="F19" s="14" t="n">
        <f aca="false">F17*$B$6</f>
        <v>3549.5</v>
      </c>
      <c r="G19" s="14" t="n">
        <f aca="false">G17*$B$6</f>
        <v>4122</v>
      </c>
      <c r="H19" s="14" t="n">
        <f aca="false">H17*$B$6</f>
        <v>4694.5</v>
      </c>
      <c r="I19" s="14" t="n">
        <f aca="false">I17*$B$6</f>
        <v>5267</v>
      </c>
      <c r="J19" s="14" t="n">
        <f aca="false">J17*$B$6</f>
        <v>5839.5</v>
      </c>
      <c r="K19" s="14" t="n">
        <f aca="false">K17*$B$6</f>
        <v>6412</v>
      </c>
      <c r="L19" s="14" t="n">
        <f aca="false">L17*$B$6</f>
        <v>6984.5</v>
      </c>
      <c r="M19" s="14" t="n">
        <f aca="false">M17*$B$6</f>
        <v>7557</v>
      </c>
    </row>
    <row r="20" customFormat="false" ht="15" hidden="false" customHeight="false" outlineLevel="0" collapsed="false">
      <c r="A20" s="8" t="s">
        <v>27</v>
      </c>
      <c r="B20" s="14" t="n">
        <f aca="false">B19*$B$8</f>
        <v>188.925</v>
      </c>
      <c r="C20" s="14" t="n">
        <f aca="false">C19*$B$8</f>
        <v>274.8</v>
      </c>
      <c r="D20" s="14" t="n">
        <f aca="false">D19*$B$8</f>
        <v>360.675</v>
      </c>
      <c r="E20" s="14" t="n">
        <f aca="false">E19*$B$8</f>
        <v>446.55</v>
      </c>
      <c r="F20" s="14" t="n">
        <f aca="false">F19*$B$8</f>
        <v>532.425</v>
      </c>
      <c r="G20" s="14" t="n">
        <f aca="false">G19*$B$8</f>
        <v>618.3</v>
      </c>
      <c r="H20" s="14" t="n">
        <f aca="false">H19*$B$8</f>
        <v>704.175</v>
      </c>
      <c r="I20" s="14" t="n">
        <f aca="false">I19*$B$8</f>
        <v>790.05</v>
      </c>
      <c r="J20" s="14" t="n">
        <f aca="false">J19*$B$8</f>
        <v>875.925</v>
      </c>
      <c r="K20" s="14" t="n">
        <f aca="false">K19*$B$8</f>
        <v>961.8</v>
      </c>
      <c r="L20" s="14" t="n">
        <f aca="false">L19*$B$8</f>
        <v>1047.675</v>
      </c>
      <c r="M20" s="14" t="n">
        <f aca="false">M19*$B$8</f>
        <v>1133.55</v>
      </c>
    </row>
    <row r="21" customFormat="false" ht="15" hidden="false" customHeight="false" outlineLevel="0" collapsed="false">
      <c r="A21" s="11" t="s">
        <v>28</v>
      </c>
      <c r="B21" s="14" t="n">
        <f aca="false">B19-B20</f>
        <v>1070.575</v>
      </c>
      <c r="C21" s="14" t="n">
        <f aca="false">C19-C20</f>
        <v>1557.2</v>
      </c>
      <c r="D21" s="14" t="n">
        <f aca="false">D19-D20</f>
        <v>2043.825</v>
      </c>
      <c r="E21" s="14" t="n">
        <f aca="false">E19-E20</f>
        <v>2530.45</v>
      </c>
      <c r="F21" s="14" t="n">
        <f aca="false">F19-F20</f>
        <v>3017.075</v>
      </c>
      <c r="G21" s="14" t="n">
        <f aca="false">G19-G20</f>
        <v>3503.7</v>
      </c>
      <c r="H21" s="14" t="n">
        <f aca="false">H19-H20</f>
        <v>3990.325</v>
      </c>
      <c r="I21" s="14" t="n">
        <f aca="false">I19-I20</f>
        <v>4476.95</v>
      </c>
      <c r="J21" s="14" t="n">
        <f aca="false">J19-J20</f>
        <v>4963.575</v>
      </c>
      <c r="K21" s="14" t="n">
        <f aca="false">K19-K20</f>
        <v>5450.2</v>
      </c>
      <c r="L21" s="14" t="n">
        <f aca="false">L19-L20</f>
        <v>5936.825</v>
      </c>
      <c r="M21" s="14" t="n">
        <f aca="false">M19-M20</f>
        <v>6423.45</v>
      </c>
    </row>
    <row r="22" customFormat="false" ht="15" hidden="false" customHeight="false" outlineLevel="0" collapsed="false">
      <c r="A22" s="11" t="s">
        <v>29</v>
      </c>
      <c r="B22" s="15" t="n">
        <f aca="false">IF(B19=0,0,B21/B19)</f>
        <v>0.85</v>
      </c>
      <c r="C22" s="15" t="n">
        <f aca="false">IF(C19=0,0,C21/C19)</f>
        <v>0.85</v>
      </c>
      <c r="D22" s="15" t="n">
        <f aca="false">IF(D19=0,0,D21/D19)</f>
        <v>0.85</v>
      </c>
      <c r="E22" s="15" t="n">
        <f aca="false">IF(E19=0,0,E21/E19)</f>
        <v>0.85</v>
      </c>
      <c r="F22" s="15" t="n">
        <f aca="false">IF(F19=0,0,F21/F19)</f>
        <v>0.85</v>
      </c>
      <c r="G22" s="15" t="n">
        <f aca="false">IF(G19=0,0,G21/G19)</f>
        <v>0.85</v>
      </c>
      <c r="H22" s="15" t="n">
        <f aca="false">IF(H19=0,0,H21/H19)</f>
        <v>0.85</v>
      </c>
      <c r="I22" s="15" t="n">
        <f aca="false">IF(I19=0,0,I21/I19)</f>
        <v>0.85</v>
      </c>
      <c r="J22" s="15" t="n">
        <f aca="false">IF(J19=0,0,J21/J19)</f>
        <v>0.85</v>
      </c>
      <c r="K22" s="15" t="n">
        <f aca="false">IF(K19=0,0,K21/K19)</f>
        <v>0.85</v>
      </c>
      <c r="L22" s="15" t="n">
        <f aca="false">IF(L19=0,0,L21/L19)</f>
        <v>0.85</v>
      </c>
      <c r="M22" s="15" t="n">
        <f aca="false">IF(M19=0,0,M21/M19)</f>
        <v>0.85</v>
      </c>
    </row>
    <row r="23" customFormat="false" ht="1.5" hidden="false" customHeight="true" outlineLevel="0" collapsed="false"/>
    <row r="24" customFormat="false" ht="15" hidden="false" customHeight="false" outlineLevel="0" collapsed="false">
      <c r="A24" s="13" t="s">
        <v>30</v>
      </c>
      <c r="B24" s="14" t="n">
        <f aca="false">$B$9</f>
        <v>500</v>
      </c>
      <c r="C24" s="14" t="n">
        <f aca="false">$B$9</f>
        <v>500</v>
      </c>
      <c r="D24" s="14" t="n">
        <f aca="false">$B$9</f>
        <v>500</v>
      </c>
      <c r="E24" s="14" t="n">
        <f aca="false">$B$9</f>
        <v>500</v>
      </c>
      <c r="F24" s="14" t="n">
        <f aca="false">$B$9</f>
        <v>500</v>
      </c>
      <c r="G24" s="14" t="n">
        <f aca="false">$B$9</f>
        <v>500</v>
      </c>
      <c r="H24" s="14" t="n">
        <f aca="false">$B$9</f>
        <v>500</v>
      </c>
      <c r="I24" s="14" t="n">
        <f aca="false">$B$9</f>
        <v>500</v>
      </c>
      <c r="J24" s="14" t="n">
        <f aca="false">$B$9</f>
        <v>500</v>
      </c>
      <c r="K24" s="14" t="n">
        <f aca="false">$B$9</f>
        <v>500</v>
      </c>
      <c r="L24" s="14" t="n">
        <f aca="false">$B$9</f>
        <v>500</v>
      </c>
      <c r="M24" s="14" t="n">
        <f aca="false">$B$9</f>
        <v>500</v>
      </c>
    </row>
    <row r="25" customFormat="false" ht="15" hidden="false" customHeight="false" outlineLevel="0" collapsed="false">
      <c r="A25" s="11" t="s">
        <v>31</v>
      </c>
      <c r="B25" s="14" t="n">
        <f aca="false">B21-B24</f>
        <v>570.575</v>
      </c>
      <c r="C25" s="14" t="n">
        <f aca="false">C21-C24</f>
        <v>1057.2</v>
      </c>
      <c r="D25" s="14" t="n">
        <f aca="false">D21-D24</f>
        <v>1543.825</v>
      </c>
      <c r="E25" s="14" t="n">
        <f aca="false">E21-E24</f>
        <v>2030.45</v>
      </c>
      <c r="F25" s="14" t="n">
        <f aca="false">F21-F24</f>
        <v>2517.075</v>
      </c>
      <c r="G25" s="14" t="n">
        <f aca="false">G21-G24</f>
        <v>3003.7</v>
      </c>
      <c r="H25" s="14" t="n">
        <f aca="false">H21-H24</f>
        <v>3490.325</v>
      </c>
      <c r="I25" s="14" t="n">
        <f aca="false">I21-I24</f>
        <v>3976.95</v>
      </c>
      <c r="J25" s="14" t="n">
        <f aca="false">J21-J24</f>
        <v>4463.575</v>
      </c>
      <c r="K25" s="14" t="n">
        <f aca="false">K21-K24</f>
        <v>4950.2</v>
      </c>
      <c r="L25" s="14" t="n">
        <f aca="false">L21-L24</f>
        <v>5436.825</v>
      </c>
      <c r="M25" s="14" t="n">
        <f aca="false">M21-M24</f>
        <v>5923.45</v>
      </c>
    </row>
    <row r="26" customFormat="false" ht="15" hidden="false" customHeight="false" outlineLevel="0" collapsed="false">
      <c r="A26" s="11" t="s">
        <v>32</v>
      </c>
      <c r="B26" s="15" t="n">
        <f aca="false">IF(B19=0,0,B25/B19)</f>
        <v>0.453017070265979</v>
      </c>
      <c r="C26" s="15" t="n">
        <f aca="false">IF(C19=0,0,C25/C19)</f>
        <v>0.57707423580786</v>
      </c>
      <c r="D26" s="15" t="n">
        <f aca="false">IF(D19=0,0,D25/D19)</f>
        <v>0.642056560615513</v>
      </c>
      <c r="E26" s="15" t="n">
        <f aca="false">IF(E19=0,0,E25/E19)</f>
        <v>0.682045683574068</v>
      </c>
      <c r="F26" s="15" t="n">
        <f aca="false">IF(F19=0,0,F25/F19)</f>
        <v>0.709135089449218</v>
      </c>
      <c r="G26" s="15" t="n">
        <f aca="false">IF(G19=0,0,G25/G19)</f>
        <v>0.728699660359049</v>
      </c>
      <c r="H26" s="15" t="n">
        <f aca="false">IF(H19=0,0,H25/H19)</f>
        <v>0.743492384705506</v>
      </c>
      <c r="I26" s="15" t="n">
        <f aca="false">IF(I19=0,0,I25/I19)</f>
        <v>0.75506929941143</v>
      </c>
      <c r="J26" s="15" t="n">
        <f aca="false">IF(J19=0,0,J25/J19)</f>
        <v>0.764376230841682</v>
      </c>
      <c r="K26" s="15" t="n">
        <f aca="false">IF(K19=0,0,K25/K19)</f>
        <v>0.772021210230817</v>
      </c>
      <c r="L26" s="15" t="n">
        <f aca="false">IF(L19=0,0,L25/L19)</f>
        <v>0.778412914310258</v>
      </c>
      <c r="M26" s="15" t="n">
        <f aca="false">IF(M19=0,0,M25/M19)</f>
        <v>0.783836178377663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2026-03-27T00:45:29Z</dcterms:created>
  <dc:creator>openpyxl</dc:creator>
  <dc:description/>
  <dc:language>en-US</dc:language>
  <cp:lastModifiedBy/>
  <dcterms:modified xsi:type="dcterms:W3CDTF">2026-03-27T00:45:29Z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