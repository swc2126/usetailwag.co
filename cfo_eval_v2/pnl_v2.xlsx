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P&amp;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<sst xmlns="http://schemas.openxmlformats.org/spreadsheetml/2006/main" count="20" uniqueCount="20">
  <si>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TailWag</t>
  </si>
  <si>
    <t xml:space="preserve">Monthly Financial Report — March 2026</t>
  </si>
  <si>
    <t xml:space="preserve">REVENUE</t>
  </si>
  <si>
    <t xml:space="preserve">Growth plan (2 × $249/mo)</t>
  </si>
  <si>
    <t xml:space="preserve">Starter plan (1 × $189/mo)</t>
  </si>
  <si>
    <t xml:space="preserve">Total Revenue</t>
  </si>
  <si>
    <t xml:space="preserve">COST OF GOODS SOLD</t>
  </si>
  <si>
    <t xml:space="preserve">Twilio SMS Costs</t>
  </si>
  <si>
    <t xml:space="preserve">Anthropic API Costs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</si>
  <si>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</si>
  <si>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</si>
  <si>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</si>
  <si>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</si>
  <si>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Render Hosting</t>
  </si>
  <si>
    <t xml:space="preserve">Owner Salary</t>
  </si>
  <si>
    <t xml:space="preserve">Total Operating Expenses</t>
  </si>
  <si>
    <t xml:space="preserve">EBITDA</t>
  </si>
  <si>
    <t xml:space="preserve">EBITDA Margin %</t>
  </si>
  <si>
    <t xml:space="preserve">NET INCOME</t>
  </si>
  <si>
    <t xml:space="preserve">Net Margin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</si>
</sst>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410"/>
      <name val="Arial"/>
      <family val="0"/>
      <charset val="1"/>
    </font>
    <font>
      <sz val="11"/>
      <color rgb="FF2D3748"/>
      <name val="Arial"/>
      <family val="0"/>
      <charset val="1"/>
    </font>
    <font>
      <b val="true"/>
      <sz val="11"/>
      <color rgb="FFF5F0E8"/>
      <name val="Arial"/>
      <family val="0"/>
      <charset val="1"/>
    </font>
    <font>
      <sz val="10"/>
      <color rgb="FF1E6B4A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4933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410"/>
        <bgColor rgb="FF000000"/>
      </patternFill>
    </fill>
    <fill>
      <patternFill patternType="solid">
        <fgColor rgb="FF1E6B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8C5B0"/>
      </left>
      <right style="thin">
        <color rgb="FFA8C5B0"/>
      </right>
      <top style="thin">
        <color rgb="FFA8C5B0"/>
      </top>
      <bottom style="thin">
        <color rgb="FFA8C5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A8C5B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933F"/>
      <rgbColor rgb="FF003366"/>
      <rgbColor rgb="FF339966"/>
      <rgbColor rgb="FF0F141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9.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3" customFormat="false" ht="6" hidden="false" customHeight="true" outlineLevel="0" collapsed="false"/>
    <row r="4" customFormat="false" ht="15.75" hidden="false" customHeight="tru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f aca="false">2*249</f>
        <v>498</v>
      </c>
    </row>
    <row r="6" customFormat="false" ht="15" hidden="false" customHeight="false" outlineLevel="0" collapsed="false">
      <c r="A6" s="5" t="s">
        <v>4</v>
      </c>
      <c r="B6" s="6" t="n">
        <f aca="false">1*189</f>
        <v>189</v>
      </c>
    </row>
    <row r="7" customFormat="false" ht="13.5" hidden="false" customHeight="true" outlineLevel="0" collapsed="false">
      <c r="A7" s="7" t="s">
        <v>5</v>
      </c>
      <c r="B7" s="8" t="n">
        <f aca="false">SUM(B5:B6)</f>
        <v>687</v>
      </c>
    </row>
    <row r="8" customFormat="false" ht="6" hidden="false" customHeight="true" outlineLevel="0" collapsed="false"/>
    <row r="9" customFormat="false" ht="15.75" hidden="false" customHeight="true" outlineLevel="0" collapsed="false">
      <c r="A9" s="3" t="s">
        <v>6</v>
      </c>
      <c r="B9" s="4"/>
    </row>
    <row r="10" customFormat="false" ht="15" hidden="false" customHeight="false" outlineLevel="0" collapsed="false">
      <c r="A10" s="5" t="s">
        <v>7</v>
      </c>
      <c r="B10" s="6" t="n">
        <v>85</v>
      </c>
    </row>
    <row r="11" customFormat="false" ht="15" hidden="false" customHeight="false" outlineLevel="0" collapsed="false">
      <c r="A11" s="5" t="s">
        <v>8</v>
      </c>
      <c r="B11" s="6" t="n">
        <v>20</v>
      </c>
    </row>
    <row r="12" customFormat="false" ht="13.5" hidden="false" customHeight="true" outlineLevel="0" collapsed="false">
      <c r="A12" s="7" t="s">
        <v>9</v>
      </c>
      <c r="B12" s="8" t="n">
        <f aca="false">SUM(B10:B11)</f>
        <v>105</v>
      </c>
    </row>
    <row r="13" customFormat="false" ht="6" hidden="false" customHeight="true" outlineLevel="0" collapsed="false"/>
    <row r="14" customFormat="false" ht="13.5" hidden="false" customHeight="true" outlineLevel="0" collapsed="false">
      <c r="A14" s="9" t="s">
        <v>10</v>
      </c>
      <c r="B14" s="10" t="n">
        <f aca="false">B7-B12</f>
        <v>582</v>
      </c>
    </row>
    <row r="15" customFormat="false" ht="15" hidden="false" customHeight="false" outlineLevel="0" collapsed="false">
      <c r="A15" s="11" t="s">
        <v>11</v>
      </c>
      <c r="B15" s="12" t="n">
        <f aca="false">IF(B7=0,0,B14/B7)</f>
        <v>0.847161572052402</v>
      </c>
    </row>
    <row r="16" customFormat="false" ht="6" hidden="false" customHeight="true" outlineLevel="0" collapsed="false"/>
    <row r="17" customFormat="false" ht="15.75" hidden="false" customHeight="true" outlineLevel="0" collapsed="false">
      <c r="A17" s="3" t="s">
        <v>12</v>
      </c>
      <c r="B17" s="4"/>
    </row>
    <row r="18" customFormat="false" ht="15" hidden="false" customHeight="false" outlineLevel="0" collapsed="false">
      <c r="A18" s="5" t="s">
        <v>13</v>
      </c>
      <c r="B18" s="6" t="n">
        <v>49</v>
      </c>
    </row>
    <row r="19" customFormat="false" ht="15" hidden="false" customHeight="false" outlineLevel="0" collapsed="false">
      <c r="A19" s="5" t="s">
        <v>14</v>
      </c>
      <c r="B19" s="6" t="n">
        <v>0</v>
      </c>
    </row>
    <row r="20" customFormat="false" ht="13.5" hidden="false" customHeight="true" outlineLevel="0" collapsed="false">
      <c r="A20" s="7" t="s">
        <v>15</v>
      </c>
      <c r="B20" s="8" t="n">
        <f aca="false">SUM(B18:B19)</f>
        <v>49</v>
      </c>
    </row>
    <row r="21" customFormat="false" ht="6" hidden="false" customHeight="true" outlineLevel="0" collapsed="false"/>
    <row r="22" customFormat="false" ht="13.5" hidden="false" customHeight="true" outlineLevel="0" collapsed="false">
      <c r="A22" s="9" t="s">
        <v>16</v>
      </c>
      <c r="B22" s="10" t="n">
        <f aca="false">B14-B20</f>
        <v>533</v>
      </c>
    </row>
    <row r="23" customFormat="false" ht="15" hidden="false" customHeight="false" outlineLevel="0" collapsed="false">
      <c r="A23" s="11" t="s">
        <v>17</v>
      </c>
      <c r="B23" s="12" t="n">
        <f aca="false">IF(B7=0,0,B22/B7)</f>
        <v>0.775836972343523</v>
      </c>
    </row>
    <row r="24" customFormat="false" ht="6" hidden="false" customHeight="true" outlineLevel="0" collapsed="false"/>
    <row r="25" customFormat="false" ht="13.5" hidden="false" customHeight="true" outlineLevel="0" collapsed="false">
      <c r="A25" s="3" t="s">
        <v>18</v>
      </c>
      <c r="B25" s="13" t="n">
        <f aca="false">B22</f>
        <v>533</v>
      </c>
    </row>
    <row r="26" customFormat="false" ht="15" hidden="false" customHeight="false" outlineLevel="0" collapsed="false">
      <c r="A26" s="11" t="s">
        <v>19</v>
      </c>
      <c r="B26" s="12" t="n">
        <f aca="false">IF(B7=0,0,B25/B7)</f>
        <v>0.775836972343523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2026-03-27T00:45:19Z</dcterms:created>
  <dc:creator>openpyxl</dc:creator>
  <dc:description/>
  <dc:language>en-US</dc:language>
  <cp:lastModifiedBy/>
  <dcterms:modified xsi:type="dcterms:W3CDTF">2026-03-27T00:45:19Z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