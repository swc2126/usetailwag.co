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-Month Foreca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<sst xmlns="http://schemas.openxmlformats.org/spreadsheetml/2006/main" count="45" uniqueCount="45">
  <si>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TAILWAG 12-MONTH FORECAST</t>
  </si>
  <si>
    <t xml:space="preserve">ASSUMPTIONS (Blue = Edit These Values)</t>
  </si>
  <si>
    <t xml:space="preserve">Starting Clients</t>
  </si>
  <si>
    <t xml:space="preserve">New Clients per Month (Min)</t>
  </si>
  <si>
    <t xml:space="preserve">New Clients per Month (Max)</t>
  </si>
  <si>
    <t xml:space="preserve">Price per Client/Month</t>
  </si>
  <si>
    <t xml:space="preserve">Variable Cost % of Revenue</t>
  </si>
  <si>
    <t xml:space="preserve">Fixed Costs per Month</t>
  </si>
  <si>
    <t xml:space="preserve">Note: Model uses 2-3 new clients/month average (2.5 midpoint)</t>
  </si>
  <si>
    <t xml:space="preserve">MONTHLY FORECAST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</si>
  <si>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</si>
  <si>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</si>
  <si>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</si>
  <si>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</si>
  <si>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</si>
  <si>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</si>
  <si>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</si>
  <si>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</si>
  <si>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</si>
  <si>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</si>
  <si>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</si>
  <si>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</si>
  <si>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</si>
  <si>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Clients (Beginning)</t>
  </si>
  <si>
    <t xml:space="preserve">New Clients Added</t>
  </si>
  <si>
    <t xml:space="preserve">Clients (Ending)</t>
  </si>
  <si>
    <t xml:space="preserve">Revenue</t>
  </si>
  <si>
    <t xml:space="preserve">Variable Costs (SMS/API)</t>
  </si>
  <si>
    <t xml:space="preserve">Contribution Margin</t>
  </si>
  <si>
    <t xml:space="preserve">Contribution Margin %</t>
  </si>
  <si>
    <t xml:space="preserve">Fixed Costs</t>
  </si>
  <si>
    <t xml:space="preserve">EBITDA</t>
  </si>
  <si>
    <t xml:space="preserve">EBITDA Margin %</t>
  </si>
  <si>
    <t xml:space="preserve">Cumulative EBITDA</t>
  </si>
  <si>
    <t xml:space="preserve">ANNUAL SUMMARY</t>
  </si>
  <si>
    <t xml:space="preserve">Total Revenue</t>
  </si>
  <si>
    <t xml:space="preserve">Total Variable Costs</t>
  </si>
  <si>
    <t xml:space="preserve">Total Contribution Margin</t>
  </si>
  <si>
    <t xml:space="preserve">Avg Contribution Margin %</t>
  </si>
  <si>
    <t xml:space="preserve">Total Fixed Costs</t>
  </si>
  <si>
    <t xml:space="preserve">Total EBITDA</t>
  </si>
  <si>
    <t xml:space="preserve">Avg EBITDA Margin %</t>
  </si>
  <si>
    <t xml:space="preserve">Ending Client Count</t>
  </si>
  <si>
    <t xml:space="preserve">Total Clients Added</t>
  </si>
  <si>
    <t xml:space="preserve">Average Revenue per Client/Month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</si>
</sst>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"/>
    <numFmt numFmtId="166" formatCode="\$#,##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i val="true"/>
      <sz val="9"/>
      <name val="Cambria"/>
      <family val="0"/>
      <charset val="1"/>
    </font>
    <font>
      <sz val="11"/>
      <color rgb="FF0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  <c r="B4" s="3" t="n">
        <v>3</v>
      </c>
    </row>
    <row r="5" customFormat="false" ht="15" hidden="false" customHeight="false" outlineLevel="0" collapsed="false">
      <c r="A5" s="0" t="s">
        <v>3</v>
      </c>
      <c r="B5" s="3" t="n">
        <v>2</v>
      </c>
    </row>
    <row r="6" customFormat="false" ht="15" hidden="false" customHeight="false" outlineLevel="0" collapsed="false">
      <c r="A6" s="0" t="s">
        <v>4</v>
      </c>
      <c r="B6" s="3" t="n">
        <v>3</v>
      </c>
    </row>
    <row r="7" customFormat="false" ht="15" hidden="false" customHeight="false" outlineLevel="0" collapsed="false">
      <c r="A7" s="0" t="s">
        <v>5</v>
      </c>
      <c r="B7" s="3" t="n">
        <v>229</v>
      </c>
    </row>
    <row r="8" customFormat="false" ht="15" hidden="false" customHeight="false" outlineLevel="0" collapsed="false">
      <c r="A8" s="0" t="s">
        <v>6</v>
      </c>
      <c r="B8" s="4" t="n">
        <v>0.15</v>
      </c>
    </row>
    <row r="9" customFormat="false" ht="15" hidden="false" customHeight="false" outlineLevel="0" collapsed="false">
      <c r="A9" s="0" t="s">
        <v>7</v>
      </c>
      <c r="B9" s="4" t="n">
        <v>500</v>
      </c>
    </row>
    <row r="11" customFormat="false" ht="15" hidden="false" customHeight="false" outlineLevel="0" collapsed="false">
      <c r="A11" s="5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6" t="s">
        <v>10</v>
      </c>
      <c r="B14" s="6" t="s">
        <v>11</v>
      </c>
      <c r="C14" s="6" t="s">
        <v>12</v>
      </c>
      <c r="D14" s="6" t="s">
        <v>13</v>
      </c>
      <c r="E14" s="6" t="s">
        <v>14</v>
      </c>
      <c r="F14" s="6" t="s">
        <v>15</v>
      </c>
      <c r="G14" s="6" t="s">
        <v>16</v>
      </c>
      <c r="H14" s="6" t="s">
        <v>17</v>
      </c>
      <c r="I14" s="6" t="s">
        <v>18</v>
      </c>
      <c r="J14" s="6" t="s">
        <v>19</v>
      </c>
      <c r="K14" s="6" t="s">
        <v>20</v>
      </c>
      <c r="L14" s="6" t="s">
        <v>21</v>
      </c>
      <c r="M14" s="6" t="s">
        <v>22</v>
      </c>
    </row>
    <row r="15" customFormat="false" ht="15" hidden="false" customHeight="false" outlineLevel="0" collapsed="false">
      <c r="A15" s="7" t="s">
        <v>23</v>
      </c>
      <c r="B15" s="8" t="n">
        <f aca="false">B4</f>
        <v>3</v>
      </c>
      <c r="C15" s="8" t="n">
        <f aca="false">B17</f>
        <v>6</v>
      </c>
      <c r="D15" s="8" t="n">
        <f aca="false">C17</f>
        <v>9</v>
      </c>
      <c r="E15" s="8" t="n">
        <f aca="false">D17</f>
        <v>12</v>
      </c>
      <c r="F15" s="8" t="n">
        <f aca="false">E17</f>
        <v>15</v>
      </c>
      <c r="G15" s="8" t="n">
        <f aca="false">F17</f>
        <v>18</v>
      </c>
      <c r="H15" s="8" t="n">
        <f aca="false">G17</f>
        <v>21</v>
      </c>
      <c r="I15" s="8" t="n">
        <f aca="false">H17</f>
        <v>24</v>
      </c>
      <c r="J15" s="8" t="n">
        <f aca="false">I17</f>
        <v>27</v>
      </c>
      <c r="K15" s="8" t="n">
        <f aca="false">J17</f>
        <v>30</v>
      </c>
      <c r="L15" s="8" t="n">
        <f aca="false">K17</f>
        <v>33</v>
      </c>
      <c r="M15" s="8" t="n">
        <f aca="false">L17</f>
        <v>36</v>
      </c>
    </row>
    <row r="16" customFormat="false" ht="15" hidden="false" customHeight="false" outlineLevel="0" collapsed="false">
      <c r="A16" s="9" t="s">
        <v>24</v>
      </c>
      <c r="B16" s="8" t="n">
        <f aca="false">ROUND((B5+B6)/2, 0)</f>
        <v>3</v>
      </c>
      <c r="C16" s="8" t="n">
        <f aca="false">ROUND((B5+B6)/2, 0)</f>
        <v>3</v>
      </c>
      <c r="D16" s="8" t="n">
        <f aca="false">ROUND((B5+B6)/2, 0)</f>
        <v>3</v>
      </c>
      <c r="E16" s="8" t="n">
        <f aca="false">ROUND((B5+B6)/2, 0)</f>
        <v>3</v>
      </c>
      <c r="F16" s="8" t="n">
        <f aca="false">ROUND((B5+B6)/2, 0)</f>
        <v>3</v>
      </c>
      <c r="G16" s="8" t="n">
        <f aca="false">ROUND((B5+B6)/2, 0)</f>
        <v>3</v>
      </c>
      <c r="H16" s="8" t="n">
        <f aca="false">ROUND((B5+B6)/2, 0)</f>
        <v>3</v>
      </c>
      <c r="I16" s="8" t="n">
        <f aca="false">ROUND((B5+B6)/2, 0)</f>
        <v>3</v>
      </c>
      <c r="J16" s="8" t="n">
        <f aca="false">ROUND((B5+B6)/2, 0)</f>
        <v>3</v>
      </c>
      <c r="K16" s="8" t="n">
        <f aca="false">ROUND((B5+B6)/2, 0)</f>
        <v>3</v>
      </c>
      <c r="L16" s="8" t="n">
        <f aca="false">ROUND((B5+B6)/2, 0)</f>
        <v>3</v>
      </c>
      <c r="M16" s="8" t="n">
        <f aca="false">ROUND((B5+B6)/2, 0)</f>
        <v>3</v>
      </c>
    </row>
    <row r="17" customFormat="false" ht="15" hidden="false" customHeight="false" outlineLevel="0" collapsed="false">
      <c r="A17" s="9" t="s">
        <v>25</v>
      </c>
      <c r="B17" s="8" t="n">
        <f aca="false">B15+B16</f>
        <v>6</v>
      </c>
      <c r="C17" s="8" t="n">
        <f aca="false">C15+C16</f>
        <v>9</v>
      </c>
      <c r="D17" s="8" t="n">
        <f aca="false">D15+D16</f>
        <v>12</v>
      </c>
      <c r="E17" s="8" t="n">
        <f aca="false">E15+E16</f>
        <v>15</v>
      </c>
      <c r="F17" s="8" t="n">
        <f aca="false">F15+F16</f>
        <v>18</v>
      </c>
      <c r="G17" s="8" t="n">
        <f aca="false">G15+G16</f>
        <v>21</v>
      </c>
      <c r="H17" s="8" t="n">
        <f aca="false">H15+H16</f>
        <v>24</v>
      </c>
      <c r="I17" s="8" t="n">
        <f aca="false">I15+I16</f>
        <v>27</v>
      </c>
      <c r="J17" s="8" t="n">
        <f aca="false">J15+J16</f>
        <v>30</v>
      </c>
      <c r="K17" s="8" t="n">
        <f aca="false">K15+K16</f>
        <v>33</v>
      </c>
      <c r="L17" s="8" t="n">
        <f aca="false">L15+L16</f>
        <v>36</v>
      </c>
      <c r="M17" s="8" t="n">
        <f aca="false">M15+M16</f>
        <v>39</v>
      </c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customFormat="false" ht="15" hidden="false" customHeight="false" outlineLevel="0" collapsed="false">
      <c r="A19" s="7" t="s">
        <v>26</v>
      </c>
      <c r="B19" s="11" t="n">
        <f aca="false">B17*B7</f>
        <v>1374</v>
      </c>
      <c r="C19" s="11" t="n">
        <f aca="false">C17*B7</f>
        <v>2061</v>
      </c>
      <c r="D19" s="11" t="n">
        <f aca="false">D17*B7</f>
        <v>2748</v>
      </c>
      <c r="E19" s="11" t="n">
        <f aca="false">E17*B7</f>
        <v>3435</v>
      </c>
      <c r="F19" s="11" t="n">
        <f aca="false">F17*B7</f>
        <v>4122</v>
      </c>
      <c r="G19" s="11" t="n">
        <f aca="false">G17*B7</f>
        <v>4809</v>
      </c>
      <c r="H19" s="11" t="n">
        <f aca="false">H17*B7</f>
        <v>5496</v>
      </c>
      <c r="I19" s="11" t="n">
        <f aca="false">I17*B7</f>
        <v>6183</v>
      </c>
      <c r="J19" s="11" t="n">
        <f aca="false">J17*B7</f>
        <v>6870</v>
      </c>
      <c r="K19" s="11" t="n">
        <f aca="false">K17*B7</f>
        <v>7557</v>
      </c>
      <c r="L19" s="11" t="n">
        <f aca="false">L17*B7</f>
        <v>8244</v>
      </c>
      <c r="M19" s="11" t="n">
        <f aca="false">M17*B7</f>
        <v>8931</v>
      </c>
    </row>
    <row r="20" customFormat="false" ht="15" hidden="false" customHeight="false" outlineLevel="0" collapsed="false">
      <c r="A20" s="7" t="s">
        <v>27</v>
      </c>
      <c r="B20" s="11" t="n">
        <f aca="false">B19*B8</f>
        <v>206.1</v>
      </c>
      <c r="C20" s="11" t="n">
        <f aca="false">C19*B8</f>
        <v>309.15</v>
      </c>
      <c r="D20" s="11" t="n">
        <f aca="false">D19*B8</f>
        <v>412.2</v>
      </c>
      <c r="E20" s="11" t="n">
        <f aca="false">E19*B8</f>
        <v>515.25</v>
      </c>
      <c r="F20" s="11" t="n">
        <f aca="false">F19*B8</f>
        <v>618.3</v>
      </c>
      <c r="G20" s="11" t="n">
        <f aca="false">G19*B8</f>
        <v>721.35</v>
      </c>
      <c r="H20" s="11" t="n">
        <f aca="false">H19*B8</f>
        <v>824.4</v>
      </c>
      <c r="I20" s="11" t="n">
        <f aca="false">I19*B8</f>
        <v>927.45</v>
      </c>
      <c r="J20" s="11" t="n">
        <f aca="false">J19*B8</f>
        <v>1030.5</v>
      </c>
      <c r="K20" s="11" t="n">
        <f aca="false">K19*B8</f>
        <v>1133.55</v>
      </c>
      <c r="L20" s="11" t="n">
        <f aca="false">L19*B8</f>
        <v>1236.6</v>
      </c>
      <c r="M20" s="11" t="n">
        <f aca="false">M19*B8</f>
        <v>1339.65</v>
      </c>
    </row>
    <row r="21" customFormat="false" ht="15" hidden="false" customHeight="false" outlineLevel="0" collapsed="false">
      <c r="A21" s="7" t="s">
        <v>28</v>
      </c>
      <c r="B21" s="11" t="n">
        <f aca="false">B19-B20</f>
        <v>1167.9</v>
      </c>
      <c r="C21" s="11" t="n">
        <f aca="false">C19-C20</f>
        <v>1751.85</v>
      </c>
      <c r="D21" s="11" t="n">
        <f aca="false">D19-D20</f>
        <v>2335.8</v>
      </c>
      <c r="E21" s="11" t="n">
        <f aca="false">E19-E20</f>
        <v>2919.75</v>
      </c>
      <c r="F21" s="11" t="n">
        <f aca="false">F19-F20</f>
        <v>3503.7</v>
      </c>
      <c r="G21" s="11" t="n">
        <f aca="false">G19-G20</f>
        <v>4087.65</v>
      </c>
      <c r="H21" s="11" t="n">
        <f aca="false">H19-H20</f>
        <v>4671.6</v>
      </c>
      <c r="I21" s="11" t="n">
        <f aca="false">I19-I20</f>
        <v>5255.55</v>
      </c>
      <c r="J21" s="11" t="n">
        <f aca="false">J19-J20</f>
        <v>5839.5</v>
      </c>
      <c r="K21" s="11" t="n">
        <f aca="false">K19-K20</f>
        <v>6423.45</v>
      </c>
      <c r="L21" s="11" t="n">
        <f aca="false">L19-L20</f>
        <v>7007.4</v>
      </c>
      <c r="M21" s="11" t="n">
        <f aca="false">M19-M20</f>
        <v>7591.35</v>
      </c>
    </row>
    <row r="22" customFormat="false" ht="15" hidden="false" customHeight="false" outlineLevel="0" collapsed="false">
      <c r="A22" s="7" t="s">
        <v>29</v>
      </c>
      <c r="B22" s="12" t="n">
        <f aca="false">B21/B19</f>
        <v>0.85</v>
      </c>
      <c r="C22" s="12" t="n">
        <f aca="false">C21/C19</f>
        <v>0.85</v>
      </c>
      <c r="D22" s="12" t="n">
        <f aca="false">D21/D19</f>
        <v>0.85</v>
      </c>
      <c r="E22" s="12" t="n">
        <f aca="false">E21/E19</f>
        <v>0.85</v>
      </c>
      <c r="F22" s="12" t="n">
        <f aca="false">F21/F19</f>
        <v>0.85</v>
      </c>
      <c r="G22" s="12" t="n">
        <f aca="false">G21/G19</f>
        <v>0.85</v>
      </c>
      <c r="H22" s="12" t="n">
        <f aca="false">H21/H19</f>
        <v>0.85</v>
      </c>
      <c r="I22" s="12" t="n">
        <f aca="false">I21/I19</f>
        <v>0.85</v>
      </c>
      <c r="J22" s="12" t="n">
        <f aca="false">J21/J19</f>
        <v>0.85</v>
      </c>
      <c r="K22" s="12" t="n">
        <f aca="false">K21/K19</f>
        <v>0.85</v>
      </c>
      <c r="L22" s="12" t="n">
        <f aca="false">L21/L19</f>
        <v>0.85</v>
      </c>
      <c r="M22" s="12" t="n">
        <f aca="false">M21/M19</f>
        <v>0.85</v>
      </c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customFormat="false" ht="15" hidden="false" customHeight="false" outlineLevel="0" collapsed="false">
      <c r="A24" s="7" t="s">
        <v>30</v>
      </c>
      <c r="B24" s="11" t="n">
        <f aca="false">B9</f>
        <v>500</v>
      </c>
      <c r="C24" s="11" t="n">
        <f aca="false">B9</f>
        <v>500</v>
      </c>
      <c r="D24" s="11" t="n">
        <f aca="false">B9</f>
        <v>500</v>
      </c>
      <c r="E24" s="11" t="n">
        <f aca="false">B9</f>
        <v>500</v>
      </c>
      <c r="F24" s="11" t="n">
        <f aca="false">B9</f>
        <v>500</v>
      </c>
      <c r="G24" s="11" t="n">
        <f aca="false">B9</f>
        <v>500</v>
      </c>
      <c r="H24" s="11" t="n">
        <f aca="false">B9</f>
        <v>500</v>
      </c>
      <c r="I24" s="11" t="n">
        <f aca="false">B9</f>
        <v>500</v>
      </c>
      <c r="J24" s="11" t="n">
        <f aca="false">B9</f>
        <v>500</v>
      </c>
      <c r="K24" s="11" t="n">
        <f aca="false">B9</f>
        <v>500</v>
      </c>
      <c r="L24" s="11" t="n">
        <f aca="false">B9</f>
        <v>500</v>
      </c>
      <c r="M24" s="11" t="n">
        <f aca="false">B9</f>
        <v>500</v>
      </c>
    </row>
    <row r="25" customFormat="false" ht="15" hidden="false" customHeight="false" outlineLevel="0" collapsed="false">
      <c r="A25" s="7" t="s">
        <v>31</v>
      </c>
      <c r="B25" s="11" t="n">
        <f aca="false">B21-B24</f>
        <v>667.9</v>
      </c>
      <c r="C25" s="11" t="n">
        <f aca="false">C21-C24</f>
        <v>1251.85</v>
      </c>
      <c r="D25" s="11" t="n">
        <f aca="false">D21-D24</f>
        <v>1835.8</v>
      </c>
      <c r="E25" s="11" t="n">
        <f aca="false">E21-E24</f>
        <v>2419.75</v>
      </c>
      <c r="F25" s="11" t="n">
        <f aca="false">F21-F24</f>
        <v>3003.7</v>
      </c>
      <c r="G25" s="11" t="n">
        <f aca="false">G21-G24</f>
        <v>3587.65</v>
      </c>
      <c r="H25" s="11" t="n">
        <f aca="false">H21-H24</f>
        <v>4171.6</v>
      </c>
      <c r="I25" s="11" t="n">
        <f aca="false">I21-I24</f>
        <v>4755.55</v>
      </c>
      <c r="J25" s="11" t="n">
        <f aca="false">J21-J24</f>
        <v>5339.5</v>
      </c>
      <c r="K25" s="11" t="n">
        <f aca="false">K21-K24</f>
        <v>5923.45</v>
      </c>
      <c r="L25" s="11" t="n">
        <f aca="false">L21-L24</f>
        <v>6507.4</v>
      </c>
      <c r="M25" s="11" t="n">
        <f aca="false">M21-M24</f>
        <v>7091.35</v>
      </c>
    </row>
    <row r="26" customFormat="false" ht="15" hidden="false" customHeight="false" outlineLevel="0" collapsed="false">
      <c r="A26" s="7" t="s">
        <v>32</v>
      </c>
      <c r="B26" s="12" t="n">
        <f aca="false">B25/B19</f>
        <v>0.486098981077147</v>
      </c>
      <c r="C26" s="12" t="n">
        <f aca="false">C25/C19</f>
        <v>0.607399320718098</v>
      </c>
      <c r="D26" s="12" t="n">
        <f aca="false">D25/D19</f>
        <v>0.668049490538574</v>
      </c>
      <c r="E26" s="12" t="n">
        <f aca="false">E25/E19</f>
        <v>0.704439592430859</v>
      </c>
      <c r="F26" s="12" t="n">
        <f aca="false">F25/F19</f>
        <v>0.728699660359049</v>
      </c>
      <c r="G26" s="12" t="n">
        <f aca="false">G25/G19</f>
        <v>0.746028280307756</v>
      </c>
      <c r="H26" s="12" t="n">
        <f aca="false">H25/H19</f>
        <v>0.759024745269287</v>
      </c>
      <c r="I26" s="12" t="n">
        <f aca="false">I25/I19</f>
        <v>0.769133106906033</v>
      </c>
      <c r="J26" s="12" t="n">
        <f aca="false">J25/J19</f>
        <v>0.777219796215429</v>
      </c>
      <c r="K26" s="12" t="n">
        <f aca="false">K25/K19</f>
        <v>0.783836178377663</v>
      </c>
      <c r="L26" s="12" t="n">
        <f aca="false">L25/L19</f>
        <v>0.789349830179524</v>
      </c>
      <c r="M26" s="12" t="n">
        <f aca="false">M25/M19</f>
        <v>0.794015227858023</v>
      </c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customFormat="false" ht="15" hidden="false" customHeight="false" outlineLevel="0" collapsed="false">
      <c r="A28" s="7" t="s">
        <v>33</v>
      </c>
      <c r="B28" s="11" t="n">
        <f aca="false">B25</f>
        <v>667.9</v>
      </c>
      <c r="C28" s="11" t="n">
        <f aca="false">B28+C25</f>
        <v>1919.75</v>
      </c>
      <c r="D28" s="11" t="n">
        <f aca="false">C28+D25</f>
        <v>3755.55</v>
      </c>
      <c r="E28" s="11" t="n">
        <f aca="false">D28+E25</f>
        <v>6175.3</v>
      </c>
      <c r="F28" s="11" t="n">
        <f aca="false">E28+F25</f>
        <v>9179</v>
      </c>
      <c r="G28" s="11" t="n">
        <f aca="false">F28+G25</f>
        <v>12766.65</v>
      </c>
      <c r="H28" s="11" t="n">
        <f aca="false">G28+H25</f>
        <v>16938.25</v>
      </c>
      <c r="I28" s="11" t="n">
        <f aca="false">H28+I25</f>
        <v>21693.8</v>
      </c>
      <c r="J28" s="11" t="n">
        <f aca="false">I28+J25</f>
        <v>27033.3</v>
      </c>
      <c r="K28" s="11" t="n">
        <f aca="false">J28+K25</f>
        <v>32956.75</v>
      </c>
      <c r="L28" s="11" t="n">
        <f aca="false">K28+L25</f>
        <v>39464.15</v>
      </c>
      <c r="M28" s="11" t="n">
        <f aca="false">L28+M25</f>
        <v>46555.5</v>
      </c>
    </row>
    <row r="30" customFormat="false" ht="15" hidden="false" customHeight="false" outlineLevel="0" collapsed="false">
      <c r="A30" s="2" t="s">
        <v>34</v>
      </c>
    </row>
    <row r="31" customFormat="false" ht="15" hidden="false" customHeight="false" outlineLevel="0" collapsed="false">
      <c r="A31" s="0" t="s">
        <v>35</v>
      </c>
      <c r="B31" s="13" t="n">
        <f aca="false">SUM(B19:M19)</f>
        <v>61830</v>
      </c>
    </row>
    <row r="32" customFormat="false" ht="15" hidden="false" customHeight="false" outlineLevel="0" collapsed="false">
      <c r="A32" s="0" t="s">
        <v>36</v>
      </c>
      <c r="B32" s="13" t="n">
        <f aca="false">SUM(B20:M20)</f>
        <v>9274.5</v>
      </c>
    </row>
    <row r="33" customFormat="false" ht="15" hidden="false" customHeight="false" outlineLevel="0" collapsed="false">
      <c r="A33" s="0" t="s">
        <v>37</v>
      </c>
      <c r="B33" s="13" t="n">
        <f aca="false">SUM(B21:M21)</f>
        <v>52555.5</v>
      </c>
    </row>
    <row r="34" customFormat="false" ht="15" hidden="false" customHeight="false" outlineLevel="0" collapsed="false">
      <c r="A34" s="0" t="s">
        <v>38</v>
      </c>
      <c r="B34" s="14" t="n">
        <f aca="false">B33/B31</f>
        <v>0.85</v>
      </c>
    </row>
    <row r="35" customFormat="false" ht="15" hidden="false" customHeight="false" outlineLevel="0" collapsed="false">
      <c r="A35" s="0" t="s">
        <v>39</v>
      </c>
      <c r="B35" s="13" t="n">
        <f aca="false">SUM(B24:M24)</f>
        <v>6000</v>
      </c>
    </row>
    <row r="36" customFormat="false" ht="15" hidden="false" customHeight="false" outlineLevel="0" collapsed="false">
      <c r="A36" s="0" t="s">
        <v>40</v>
      </c>
      <c r="B36" s="13" t="n">
        <f aca="false">SUM(B25:M25)</f>
        <v>46555.5</v>
      </c>
    </row>
    <row r="37" customFormat="false" ht="15" hidden="false" customHeight="false" outlineLevel="0" collapsed="false">
      <c r="A37" s="0" t="s">
        <v>41</v>
      </c>
      <c r="B37" s="14" t="n">
        <f aca="false">B36/B31</f>
        <v>0.752959728287239</v>
      </c>
    </row>
    <row r="38" customFormat="false" ht="15" hidden="false" customHeight="false" outlineLevel="0" collapsed="false">
      <c r="A38" s="0" t="s">
        <v>42</v>
      </c>
      <c r="B38" s="15" t="n">
        <f aca="false">M17</f>
        <v>39</v>
      </c>
    </row>
    <row r="39" customFormat="false" ht="15" hidden="false" customHeight="false" outlineLevel="0" collapsed="false">
      <c r="A39" s="0" t="s">
        <v>43</v>
      </c>
      <c r="B39" s="15" t="n">
        <f aca="false">SUM(B16:M16)</f>
        <v>36</v>
      </c>
    </row>
    <row r="40" customFormat="false" ht="15" hidden="false" customHeight="false" outlineLevel="0" collapsed="false">
      <c r="A40" s="0" t="s">
        <v>44</v>
      </c>
      <c r="B40" s="13" t="n">
        <f aca="false">B7</f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2026-03-27T00:33:27Z</dcterms:created>
  <dc:creator>openpyxl</dc:creator>
  <dc:description/>
  <dc:language>en-US</dc:language>
  <cp:lastModifiedBy/>
  <dcterms:modified xsi:type="dcterms:W3CDTF">2026-03-27T00:33:27Z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