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way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<sst xmlns="http://schemas.openxmlformats.org/spreadsheetml/2006/main" count="33" uniqueCount="31">
  <si>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TAILWAG RUNWAY &amp; BREAK-EVEN ANALYSIS</t>
  </si>
  <si>
    <t xml:space="preserve">Analysis Date: March 26, 2026</t>
  </si>
  <si>
    <t xml:space="preserve">KEY ASSUMPTIONS</t>
  </si>
  <si>
    <t xml:space="preserve">Metric</t>
  </si>
  <si>
    <t xml:space="preserve">Amount</t>
  </si>
  <si>
    <t xml:space="preserve">Starting Savings</t>
  </si>
  <si>
    <t xml:space="preserve">Monthly Operating Costs</t>
  </si>
  <si>
    <t xml:space="preserve">Current Monthly Revenue (3 clients)</t>
  </si>
  <si>
    <t xml:space="preserve">Monthly Surplus (Revenue - Costs)</t>
  </si>
  <si>
    <t xml:space="preserve">KEY FINDING</t>
  </si>
  <si>
    <t xml:space="preserve">Status:</t>
  </si>
  <si>
    <t xml:space="preserve">YOU ARE ALREADY CASH FLOW POSITIVE!</t>
  </si>
  <si>
    <t xml:space="preserve">Monthly Surplus</t>
  </si>
  <si>
    <t xml:space="preserve">Annual Runway (no growth)</t>
  </si>
  <si>
    <t xml:space="preserve">Months to Infinite Runway</t>
  </si>
  <si>
    <t xml:space="preserve">Immediate (cash flow positive)</t>
  </si>
  <si>
    <t xml:space="preserve">REVENUE GROWTH SCENARIOS</t>
  </si>
  <si>
    <t xml:space="preserve">Scenario</t>
  </si>
  <si>
    <t xml:space="preserve">Monthly Revenue</t>
  </si>
  <si>
    <t xml:space="preserve">Annual Savings Build</t>
  </si>
  <si>
    <t xml:space="preserve">Current (3 clients)</t>
  </si>
  <si>
    <t xml:space="preserve">5 clients (+$333)</t>
  </si>
  <si>
    <t xml:space="preserve">10 clients (+$1,143)</t>
  </si>
  <si>
    <t xml:space="preserve">15 clients (+$2,143)</t>
  </si>
  <si>
    <t xml:space="preserve">20 clients (+$3,143)</t>
  </si>
  <si>
    <t xml:space="preserve">CAPITAL EFFICIENCY METRICS</t>
  </si>
  <si>
    <t xml:space="preserve">Starting Capital</t>
  </si>
  <si>
    <t xml:space="preserve">Current Monthly Revenue</t>
  </si>
  <si>
    <t xml:space="preserve">Monthly Cash Generation</t>
  </si>
  <si>
    <t xml:space="preserve">Time to 2x Initial Capital</t>
  </si>
  <si>
    <t xml:space="preserve">Time to 5x Initial Capital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</si>
</sst>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1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C6EF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v>15000</v>
      </c>
    </row>
    <row r="7" customFormat="false" ht="15" hidden="false" customHeight="false" outlineLevel="0" collapsed="false">
      <c r="A7" s="5" t="s">
        <v>6</v>
      </c>
      <c r="B7" s="6" t="n">
        <v>500</v>
      </c>
    </row>
    <row r="8" customFormat="false" ht="15" hidden="false" customHeight="false" outlineLevel="0" collapsed="false">
      <c r="A8" s="5" t="s">
        <v>7</v>
      </c>
      <c r="B8" s="6" t="n">
        <v>687</v>
      </c>
    </row>
    <row r="9" customFormat="false" ht="15" hidden="false" customHeight="false" outlineLevel="0" collapsed="false">
      <c r="A9" s="7" t="s">
        <v>8</v>
      </c>
      <c r="B9" s="8" t="n">
        <f aca="false">B8-B7</f>
        <v>187</v>
      </c>
    </row>
    <row r="11" customFormat="false" ht="15" hidden="false" customHeight="false" outlineLevel="0" collapsed="false">
      <c r="A11" s="9" t="s">
        <v>9</v>
      </c>
    </row>
    <row r="12" customFormat="false" ht="15" hidden="false" customHeight="false" outlineLevel="0" collapsed="false">
      <c r="A12" s="5" t="s">
        <v>10</v>
      </c>
      <c r="B12" s="10" t="s">
        <v>11</v>
      </c>
      <c r="C12" s="10"/>
      <c r="D12" s="10"/>
    </row>
    <row r="13" customFormat="false" ht="15" hidden="false" customHeight="false" outlineLevel="0" collapsed="false">
      <c r="A13" s="5" t="s">
        <v>12</v>
      </c>
      <c r="B13" s="8" t="n">
        <f aca="false">B9</f>
        <v>187</v>
      </c>
    </row>
    <row r="14" customFormat="false" ht="15" hidden="false" customHeight="false" outlineLevel="0" collapsed="false">
      <c r="A14" s="5" t="s">
        <v>13</v>
      </c>
      <c r="B14" s="11" t="n">
        <f aca="false">B6/B9</f>
        <v>80.2139037433155</v>
      </c>
    </row>
    <row r="15" customFormat="false" ht="15" hidden="false" customHeight="false" outlineLevel="0" collapsed="false">
      <c r="A15" s="5" t="s">
        <v>14</v>
      </c>
      <c r="B15" s="12" t="s">
        <v>15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13" t="s">
        <v>17</v>
      </c>
      <c r="B18" s="13" t="s">
        <v>18</v>
      </c>
      <c r="C18" s="13" t="s">
        <v>12</v>
      </c>
      <c r="D18" s="13" t="s">
        <v>19</v>
      </c>
    </row>
    <row r="19" customFormat="false" ht="15" hidden="false" customHeight="false" outlineLevel="0" collapsed="false">
      <c r="A19" s="14" t="s">
        <v>20</v>
      </c>
      <c r="B19" s="15" t="n">
        <v>687</v>
      </c>
      <c r="C19" s="15" t="n">
        <f aca="false">687-$B$7</f>
        <v>187</v>
      </c>
      <c r="D19" s="15" t="n">
        <f aca="false">(B19-$B$7)*12</f>
        <v>2244</v>
      </c>
    </row>
    <row r="20" customFormat="false" ht="15" hidden="false" customHeight="false" outlineLevel="0" collapsed="false">
      <c r="A20" s="14" t="s">
        <v>21</v>
      </c>
      <c r="B20" s="15" t="n">
        <v>1020</v>
      </c>
      <c r="C20" s="15" t="n">
        <f aca="false">1020-$B$7</f>
        <v>520</v>
      </c>
      <c r="D20" s="15" t="n">
        <f aca="false">(B20-$B$7)*12</f>
        <v>6240</v>
      </c>
    </row>
    <row r="21" customFormat="false" ht="15" hidden="false" customHeight="false" outlineLevel="0" collapsed="false">
      <c r="A21" s="14" t="s">
        <v>22</v>
      </c>
      <c r="B21" s="15" t="n">
        <v>1830</v>
      </c>
      <c r="C21" s="15" t="n">
        <f aca="false">1830-$B$7</f>
        <v>1330</v>
      </c>
      <c r="D21" s="15" t="n">
        <f aca="false">(B21-$B$7)*12</f>
        <v>15960</v>
      </c>
    </row>
    <row r="22" customFormat="false" ht="15" hidden="false" customHeight="false" outlineLevel="0" collapsed="false">
      <c r="A22" s="14" t="s">
        <v>23</v>
      </c>
      <c r="B22" s="15" t="n">
        <v>2830</v>
      </c>
      <c r="C22" s="15" t="n">
        <f aca="false">2830-$B$7</f>
        <v>2330</v>
      </c>
      <c r="D22" s="15" t="n">
        <f aca="false">(B22-$B$7)*12</f>
        <v>27960</v>
      </c>
    </row>
    <row r="23" customFormat="false" ht="15" hidden="false" customHeight="false" outlineLevel="0" collapsed="false">
      <c r="A23" s="14" t="s">
        <v>24</v>
      </c>
      <c r="B23" s="15" t="n">
        <v>3830</v>
      </c>
      <c r="C23" s="15" t="n">
        <f aca="false">3830-$B$7</f>
        <v>3330</v>
      </c>
      <c r="D23" s="15" t="n">
        <f aca="false">(B23-$B$7)*12</f>
        <v>39960</v>
      </c>
    </row>
    <row r="26" customFormat="false" ht="15" hidden="false" customHeight="false" outlineLevel="0" collapsed="false">
      <c r="A26" s="3" t="s">
        <v>25</v>
      </c>
    </row>
    <row r="27" customFormat="false" ht="15" hidden="false" customHeight="false" outlineLevel="0" collapsed="false">
      <c r="A27" s="5" t="s">
        <v>26</v>
      </c>
      <c r="B27" s="6" t="n">
        <f aca="false">B6</f>
        <v>15000</v>
      </c>
    </row>
    <row r="28" customFormat="false" ht="15" hidden="false" customHeight="false" outlineLevel="0" collapsed="false">
      <c r="A28" s="5" t="s">
        <v>27</v>
      </c>
      <c r="B28" s="6" t="n">
        <f aca="false">B8</f>
        <v>687</v>
      </c>
    </row>
    <row r="29" customFormat="false" ht="15" hidden="false" customHeight="false" outlineLevel="0" collapsed="false">
      <c r="A29" s="5" t="s">
        <v>6</v>
      </c>
      <c r="B29" s="6" t="n">
        <f aca="false">B7</f>
        <v>500</v>
      </c>
    </row>
    <row r="30" customFormat="false" ht="15" hidden="false" customHeight="false" outlineLevel="0" collapsed="false">
      <c r="A30" s="5" t="s">
        <v>28</v>
      </c>
      <c r="B30" s="6" t="n">
        <f aca="false">B9</f>
        <v>187</v>
      </c>
    </row>
    <row r="31" customFormat="false" ht="15" hidden="false" customHeight="false" outlineLevel="0" collapsed="false">
      <c r="A31" s="5" t="s">
        <v>29</v>
      </c>
      <c r="B31" s="6" t="n">
        <f aca="false">B6/B9</f>
        <v>80.2139037433155</v>
      </c>
    </row>
    <row r="32" customFormat="false" ht="15" hidden="false" customHeight="false" outlineLevel="0" collapsed="false">
      <c r="A32" s="5" t="s">
        <v>30</v>
      </c>
      <c r="B32" s="6" t="n">
        <f aca="false">(B6*5)/B9</f>
        <v>401.069518716578</v>
      </c>
    </row>
  </sheetData>
  <mergeCells count="2">
    <mergeCell ref="A1:D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2026-03-27T00:33:39Z</dcterms:created>
  <dc:creator>openpyxl</dc:creator>
  <dc:description/>
  <dc:language>en-US</dc:language>
  <cp:lastModifiedBy/>
  <dcterms:modified xsi:type="dcterms:W3CDTF">2026-03-27T00:33:39Z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