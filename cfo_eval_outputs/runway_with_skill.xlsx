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Detail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<sst xmlns="http://schemas.openxmlformats.org/spreadsheetml/2006/main" count="55" uniqueCount="54">
  <si>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TAILWAG RUNWAY &amp; BREAK-EVEN ANALYSIS</t>
  </si>
  <si>
    <t xml:space="preserve">INITIAL CONDITIONS</t>
  </si>
  <si>
    <t xml:space="preserve">Starting Cash Reserves</t>
  </si>
  <si>
    <t xml:space="preserve">Monthly Operating Expenses</t>
  </si>
  <si>
    <t xml:space="preserve">Monthly Revenue (Current)</t>
  </si>
  <si>
    <t xml:space="preserve">GROWTH ASSUMPTIONS</t>
  </si>
  <si>
    <t xml:space="preserve">Monthly Revenue Growth Rate (%)</t>
  </si>
  <si>
    <t xml:space="preserve">KEY OUTPUTS</t>
  </si>
  <si>
    <t xml:space="preserve">Current Monthly Burn Rate</t>
  </si>
  <si>
    <t xml:space="preserve">Months of Runway (at current burn)</t>
  </si>
  <si>
    <t xml:space="preserve">Revenue Needed to Break Even</t>
  </si>
  <si>
    <t xml:space="preserve">MONTH-BY-MONTH ANALYSIS</t>
  </si>
  <si>
    <t xml:space="preserve">Metric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</si>
  <si>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</si>
  <si>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</si>
  <si>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</si>
  <si>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</si>
  <si>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</si>
  <si>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</si>
  <si>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</si>
  <si>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</si>
  <si>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</si>
  <si>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</si>
  <si>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</si>
  <si>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</si>
  <si>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</si>
  <si>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</si>
  <si>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</si>
  <si>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</si>
  <si>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</si>
  <si>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</si>
  <si>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</si>
  <si>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</si>
  <si>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</si>
  <si>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</si>
  <si>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</si>
  <si>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</si>
  <si>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Opening Cash Balance</t>
  </si>
  <si>
    <t xml:space="preserve">Revenue</t>
  </si>
  <si>
    <t xml:space="preserve">Operating Expenses</t>
  </si>
  <si>
    <t xml:space="preserve">Net Cash Flow</t>
  </si>
  <si>
    <t xml:space="preserve">Closing Cash Balance</t>
  </si>
  <si>
    <t xml:space="preserve">RUNWAY &amp; BREAK-EVEN SUMMARY</t>
  </si>
  <si>
    <t xml:space="preserve">CURRENT STATE</t>
  </si>
  <si>
    <t xml:space="preserve">Cash on Hand</t>
  </si>
  <si>
    <t xml:space="preserve">Monthly Revenue</t>
  </si>
  <si>
    <t xml:space="preserve">Monthly Expenses</t>
  </si>
  <si>
    <t xml:space="preserve">Monthly Burn Rate</t>
  </si>
  <si>
    <t xml:space="preserve">RUNWAY ANALYSIS</t>
  </si>
  <si>
    <t xml:space="preserve">Months of Runway</t>
  </si>
  <si>
    <t xml:space="preserve">Runway Timeline</t>
  </si>
  <si>
    <t xml:space="preserve">BREAK-EVEN ANALYSIS</t>
  </si>
  <si>
    <t xml:space="preserve">Revenue Gap to Break Even</t>
  </si>
  <si>
    <t xml:space="preserve">Revenue Increase Needed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</si>
</sst>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;&quot;($&quot;#,##0\);\-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u val="singl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15000</v>
      </c>
    </row>
    <row r="5" customFormat="false" ht="15" hidden="false" customHeight="false" outlineLevel="0" collapsed="false">
      <c r="A5" s="0" t="s">
        <v>3</v>
      </c>
      <c r="B5" s="3" t="n">
        <v>500</v>
      </c>
    </row>
    <row r="6" customFormat="false" ht="15" hidden="false" customHeight="false" outlineLevel="0" collapsed="false">
      <c r="A6" s="0" t="s">
        <v>4</v>
      </c>
      <c r="B6" s="3" t="n">
        <v>687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4" t="s">
        <v>6</v>
      </c>
      <c r="B9" s="5" t="n">
        <v>0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0" t="s">
        <v>8</v>
      </c>
      <c r="B12" s="6" t="n">
        <f aca="false">B5-B6</f>
        <v>-187</v>
      </c>
    </row>
    <row r="13" customFormat="false" ht="15" hidden="false" customHeight="false" outlineLevel="0" collapsed="false">
      <c r="A13" s="0" t="s">
        <v>9</v>
      </c>
      <c r="B13" s="7" t="n">
        <f aca="false">B4/B12</f>
        <v>-80.2139037433155</v>
      </c>
    </row>
    <row r="14" customFormat="false" ht="15" hidden="false" customHeight="false" outlineLevel="0" collapsed="false">
      <c r="A14" s="0" t="s">
        <v>10</v>
      </c>
      <c r="B14" s="8" t="n">
        <f aca="false">B5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5" min="2" style="0" width="13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  <c r="O3" s="9" t="s">
        <v>26</v>
      </c>
      <c r="P3" s="9" t="s">
        <v>27</v>
      </c>
      <c r="Q3" s="9" t="s">
        <v>28</v>
      </c>
      <c r="R3" s="9" t="s">
        <v>29</v>
      </c>
      <c r="S3" s="9" t="s">
        <v>30</v>
      </c>
      <c r="T3" s="9" t="s">
        <v>31</v>
      </c>
      <c r="U3" s="9" t="s">
        <v>32</v>
      </c>
      <c r="V3" s="9" t="s">
        <v>33</v>
      </c>
      <c r="W3" s="9" t="s">
        <v>34</v>
      </c>
      <c r="X3" s="9" t="s">
        <v>35</v>
      </c>
      <c r="Y3" s="9" t="s">
        <v>36</v>
      </c>
    </row>
    <row r="4" customFormat="false" ht="15" hidden="false" customHeight="false" outlineLevel="0" collapsed="false">
      <c r="A4" s="9" t="s">
        <v>37</v>
      </c>
      <c r="B4" s="10" t="n">
        <f aca="false">Assumptions!$B$4</f>
        <v>15000</v>
      </c>
      <c r="C4" s="10" t="n">
        <f aca="false">B8</f>
        <v>15187</v>
      </c>
      <c r="D4" s="10" t="n">
        <f aca="false">C8</f>
        <v>15374</v>
      </c>
      <c r="E4" s="10" t="n">
        <f aca="false">D8</f>
        <v>15561</v>
      </c>
      <c r="F4" s="10" t="n">
        <f aca="false">E8</f>
        <v>15748</v>
      </c>
      <c r="G4" s="10" t="n">
        <f aca="false">F8</f>
        <v>15935</v>
      </c>
      <c r="H4" s="10" t="n">
        <f aca="false">G8</f>
        <v>16122</v>
      </c>
      <c r="I4" s="10" t="n">
        <f aca="false">H8</f>
        <v>16309</v>
      </c>
      <c r="J4" s="10" t="n">
        <f aca="false">I8</f>
        <v>16496</v>
      </c>
      <c r="K4" s="10" t="n">
        <f aca="false">J8</f>
        <v>16683</v>
      </c>
      <c r="L4" s="10" t="n">
        <f aca="false">K8</f>
        <v>16870</v>
      </c>
      <c r="M4" s="10" t="n">
        <f aca="false">L8</f>
        <v>17057</v>
      </c>
      <c r="N4" s="10" t="n">
        <f aca="false">M8</f>
        <v>17244</v>
      </c>
      <c r="O4" s="10" t="n">
        <f aca="false">N8</f>
        <v>17431</v>
      </c>
      <c r="P4" s="10" t="n">
        <f aca="false">O8</f>
        <v>17618</v>
      </c>
      <c r="Q4" s="10" t="n">
        <f aca="false">P8</f>
        <v>17805</v>
      </c>
      <c r="R4" s="10" t="n">
        <f aca="false">Q8</f>
        <v>17992</v>
      </c>
      <c r="S4" s="10" t="n">
        <f aca="false">R8</f>
        <v>18179</v>
      </c>
      <c r="T4" s="10" t="n">
        <f aca="false">S8</f>
        <v>18366</v>
      </c>
      <c r="U4" s="10" t="n">
        <f aca="false">T8</f>
        <v>18553</v>
      </c>
      <c r="V4" s="10" t="n">
        <f aca="false">U8</f>
        <v>18740</v>
      </c>
      <c r="W4" s="10" t="n">
        <f aca="false">V8</f>
        <v>18927</v>
      </c>
      <c r="X4" s="10" t="n">
        <f aca="false">W8</f>
        <v>19114</v>
      </c>
      <c r="Y4" s="10" t="n">
        <f aca="false">X8</f>
        <v>19301</v>
      </c>
    </row>
    <row r="5" customFormat="false" ht="15" hidden="false" customHeight="false" outlineLevel="0" collapsed="false">
      <c r="A5" s="0" t="s">
        <v>38</v>
      </c>
      <c r="B5" s="10" t="n">
        <f aca="false">Assumptions!$B$6</f>
        <v>687</v>
      </c>
      <c r="C5" s="10" t="n">
        <f aca="false">B5*(1+Assumptions!$B$9)</f>
        <v>687</v>
      </c>
      <c r="D5" s="10" t="n">
        <f aca="false">C5*(1+Assumptions!$B$9)</f>
        <v>687</v>
      </c>
      <c r="E5" s="10" t="n">
        <f aca="false">D5*(1+Assumptions!$B$9)</f>
        <v>687</v>
      </c>
      <c r="F5" s="10" t="n">
        <f aca="false">E5*(1+Assumptions!$B$9)</f>
        <v>687</v>
      </c>
      <c r="G5" s="10" t="n">
        <f aca="false">F5*(1+Assumptions!$B$9)</f>
        <v>687</v>
      </c>
      <c r="H5" s="10" t="n">
        <f aca="false">G5*(1+Assumptions!$B$9)</f>
        <v>687</v>
      </c>
      <c r="I5" s="10" t="n">
        <f aca="false">H5*(1+Assumptions!$B$9)</f>
        <v>687</v>
      </c>
      <c r="J5" s="10" t="n">
        <f aca="false">I5*(1+Assumptions!$B$9)</f>
        <v>687</v>
      </c>
      <c r="K5" s="10" t="n">
        <f aca="false">J5*(1+Assumptions!$B$9)</f>
        <v>687</v>
      </c>
      <c r="L5" s="10" t="n">
        <f aca="false">K5*(1+Assumptions!$B$9)</f>
        <v>687</v>
      </c>
      <c r="M5" s="10" t="n">
        <f aca="false">L5*(1+Assumptions!$B$9)</f>
        <v>687</v>
      </c>
      <c r="N5" s="10" t="n">
        <f aca="false">M5*(1+Assumptions!$B$9)</f>
        <v>687</v>
      </c>
      <c r="O5" s="10" t="n">
        <f aca="false">N5*(1+Assumptions!$B$9)</f>
        <v>687</v>
      </c>
      <c r="P5" s="10" t="n">
        <f aca="false">O5*(1+Assumptions!$B$9)</f>
        <v>687</v>
      </c>
      <c r="Q5" s="10" t="n">
        <f aca="false">P5*(1+Assumptions!$B$9)</f>
        <v>687</v>
      </c>
      <c r="R5" s="10" t="n">
        <f aca="false">Q5*(1+Assumptions!$B$9)</f>
        <v>687</v>
      </c>
      <c r="S5" s="10" t="n">
        <f aca="false">R5*(1+Assumptions!$B$9)</f>
        <v>687</v>
      </c>
      <c r="T5" s="10" t="n">
        <f aca="false">S5*(1+Assumptions!$B$9)</f>
        <v>687</v>
      </c>
      <c r="U5" s="10" t="n">
        <f aca="false">T5*(1+Assumptions!$B$9)</f>
        <v>687</v>
      </c>
      <c r="V5" s="10" t="n">
        <f aca="false">U5*(1+Assumptions!$B$9)</f>
        <v>687</v>
      </c>
      <c r="W5" s="10" t="n">
        <f aca="false">V5*(1+Assumptions!$B$9)</f>
        <v>687</v>
      </c>
      <c r="X5" s="10" t="n">
        <f aca="false">W5*(1+Assumptions!$B$9)</f>
        <v>687</v>
      </c>
      <c r="Y5" s="10" t="n">
        <f aca="false">X5*(1+Assumptions!$B$9)</f>
        <v>687</v>
      </c>
    </row>
    <row r="6" customFormat="false" ht="15" hidden="false" customHeight="false" outlineLevel="0" collapsed="false">
      <c r="A6" s="9" t="s">
        <v>39</v>
      </c>
      <c r="B6" s="10" t="n">
        <f aca="false">Assumptions!$B$5</f>
        <v>500</v>
      </c>
      <c r="C6" s="10" t="n">
        <f aca="false">Assumptions!$B$5</f>
        <v>500</v>
      </c>
      <c r="D6" s="10" t="n">
        <f aca="false">Assumptions!$B$5</f>
        <v>500</v>
      </c>
      <c r="E6" s="10" t="n">
        <f aca="false">Assumptions!$B$5</f>
        <v>500</v>
      </c>
      <c r="F6" s="10" t="n">
        <f aca="false">Assumptions!$B$5</f>
        <v>500</v>
      </c>
      <c r="G6" s="10" t="n">
        <f aca="false">Assumptions!$B$5</f>
        <v>500</v>
      </c>
      <c r="H6" s="10" t="n">
        <f aca="false">Assumptions!$B$5</f>
        <v>500</v>
      </c>
      <c r="I6" s="10" t="n">
        <f aca="false">Assumptions!$B$5</f>
        <v>500</v>
      </c>
      <c r="J6" s="10" t="n">
        <f aca="false">Assumptions!$B$5</f>
        <v>500</v>
      </c>
      <c r="K6" s="10" t="n">
        <f aca="false">Assumptions!$B$5</f>
        <v>500</v>
      </c>
      <c r="L6" s="10" t="n">
        <f aca="false">Assumptions!$B$5</f>
        <v>500</v>
      </c>
      <c r="M6" s="10" t="n">
        <f aca="false">Assumptions!$B$5</f>
        <v>500</v>
      </c>
      <c r="N6" s="10" t="n">
        <f aca="false">Assumptions!$B$5</f>
        <v>500</v>
      </c>
      <c r="O6" s="10" t="n">
        <f aca="false">Assumptions!$B$5</f>
        <v>500</v>
      </c>
      <c r="P6" s="10" t="n">
        <f aca="false">Assumptions!$B$5</f>
        <v>500</v>
      </c>
      <c r="Q6" s="10" t="n">
        <f aca="false">Assumptions!$B$5</f>
        <v>500</v>
      </c>
      <c r="R6" s="10" t="n">
        <f aca="false">Assumptions!$B$5</f>
        <v>500</v>
      </c>
      <c r="S6" s="10" t="n">
        <f aca="false">Assumptions!$B$5</f>
        <v>500</v>
      </c>
      <c r="T6" s="10" t="n">
        <f aca="false">Assumptions!$B$5</f>
        <v>500</v>
      </c>
      <c r="U6" s="10" t="n">
        <f aca="false">Assumptions!$B$5</f>
        <v>500</v>
      </c>
      <c r="V6" s="10" t="n">
        <f aca="false">Assumptions!$B$5</f>
        <v>500</v>
      </c>
      <c r="W6" s="10" t="n">
        <f aca="false">Assumptions!$B$5</f>
        <v>500</v>
      </c>
      <c r="X6" s="10" t="n">
        <f aca="false">Assumptions!$B$5</f>
        <v>500</v>
      </c>
      <c r="Y6" s="10" t="n">
        <f aca="false">Assumptions!$B$5</f>
        <v>500</v>
      </c>
    </row>
    <row r="7" customFormat="false" ht="15" hidden="false" customHeight="false" outlineLevel="0" collapsed="false">
      <c r="A7" s="9" t="s">
        <v>40</v>
      </c>
      <c r="B7" s="10" t="n">
        <f aca="false">B5-B6</f>
        <v>187</v>
      </c>
      <c r="C7" s="10" t="n">
        <f aca="false">C5-C6</f>
        <v>187</v>
      </c>
      <c r="D7" s="10" t="n">
        <f aca="false">D5-D6</f>
        <v>187</v>
      </c>
      <c r="E7" s="10" t="n">
        <f aca="false">E5-E6</f>
        <v>187</v>
      </c>
      <c r="F7" s="10" t="n">
        <f aca="false">F5-F6</f>
        <v>187</v>
      </c>
      <c r="G7" s="10" t="n">
        <f aca="false">G5-G6</f>
        <v>187</v>
      </c>
      <c r="H7" s="10" t="n">
        <f aca="false">H5-H6</f>
        <v>187</v>
      </c>
      <c r="I7" s="10" t="n">
        <f aca="false">I5-I6</f>
        <v>187</v>
      </c>
      <c r="J7" s="10" t="n">
        <f aca="false">J5-J6</f>
        <v>187</v>
      </c>
      <c r="K7" s="10" t="n">
        <f aca="false">K5-K6</f>
        <v>187</v>
      </c>
      <c r="L7" s="10" t="n">
        <f aca="false">L5-L6</f>
        <v>187</v>
      </c>
      <c r="M7" s="10" t="n">
        <f aca="false">M5-M6</f>
        <v>187</v>
      </c>
      <c r="N7" s="10" t="n">
        <f aca="false">N5-N6</f>
        <v>187</v>
      </c>
      <c r="O7" s="10" t="n">
        <f aca="false">O5-O6</f>
        <v>187</v>
      </c>
      <c r="P7" s="10" t="n">
        <f aca="false">P5-P6</f>
        <v>187</v>
      </c>
      <c r="Q7" s="10" t="n">
        <f aca="false">Q5-Q6</f>
        <v>187</v>
      </c>
      <c r="R7" s="10" t="n">
        <f aca="false">R5-R6</f>
        <v>187</v>
      </c>
      <c r="S7" s="10" t="n">
        <f aca="false">S5-S6</f>
        <v>187</v>
      </c>
      <c r="T7" s="10" t="n">
        <f aca="false">T5-T6</f>
        <v>187</v>
      </c>
      <c r="U7" s="10" t="n">
        <f aca="false">U5-U6</f>
        <v>187</v>
      </c>
      <c r="V7" s="10" t="n">
        <f aca="false">V5-V6</f>
        <v>187</v>
      </c>
      <c r="W7" s="10" t="n">
        <f aca="false">W5-W6</f>
        <v>187</v>
      </c>
      <c r="X7" s="10" t="n">
        <f aca="false">X5-X6</f>
        <v>187</v>
      </c>
      <c r="Y7" s="10" t="n">
        <f aca="false">Y5-Y6</f>
        <v>187</v>
      </c>
    </row>
    <row r="8" customFormat="false" ht="15" hidden="false" customHeight="false" outlineLevel="0" collapsed="false">
      <c r="A8" s="9" t="s">
        <v>41</v>
      </c>
      <c r="B8" s="10" t="n">
        <f aca="false">B4+B7</f>
        <v>15187</v>
      </c>
      <c r="C8" s="10" t="n">
        <f aca="false">B8+C7</f>
        <v>15374</v>
      </c>
      <c r="D8" s="10" t="n">
        <f aca="false">C8+D7</f>
        <v>15561</v>
      </c>
      <c r="E8" s="10" t="n">
        <f aca="false">D8+E7</f>
        <v>15748</v>
      </c>
      <c r="F8" s="10" t="n">
        <f aca="false">E8+F7</f>
        <v>15935</v>
      </c>
      <c r="G8" s="10" t="n">
        <f aca="false">F8+G7</f>
        <v>16122</v>
      </c>
      <c r="H8" s="10" t="n">
        <f aca="false">G8+H7</f>
        <v>16309</v>
      </c>
      <c r="I8" s="10" t="n">
        <f aca="false">H8+I7</f>
        <v>16496</v>
      </c>
      <c r="J8" s="10" t="n">
        <f aca="false">I8+J7</f>
        <v>16683</v>
      </c>
      <c r="K8" s="10" t="n">
        <f aca="false">J8+K7</f>
        <v>16870</v>
      </c>
      <c r="L8" s="10" t="n">
        <f aca="false">K8+L7</f>
        <v>17057</v>
      </c>
      <c r="M8" s="10" t="n">
        <f aca="false">L8+M7</f>
        <v>17244</v>
      </c>
      <c r="N8" s="10" t="n">
        <f aca="false">M8+N7</f>
        <v>17431</v>
      </c>
      <c r="O8" s="10" t="n">
        <f aca="false">N8+O7</f>
        <v>17618</v>
      </c>
      <c r="P8" s="10" t="n">
        <f aca="false">O8+P7</f>
        <v>17805</v>
      </c>
      <c r="Q8" s="10" t="n">
        <f aca="false">P8+Q7</f>
        <v>17992</v>
      </c>
      <c r="R8" s="10" t="n">
        <f aca="false">Q8+R7</f>
        <v>18179</v>
      </c>
      <c r="S8" s="10" t="n">
        <f aca="false">R8+S7</f>
        <v>18366</v>
      </c>
      <c r="T8" s="10" t="n">
        <f aca="false">S8+T7</f>
        <v>18553</v>
      </c>
      <c r="U8" s="10" t="n">
        <f aca="false">T8+U7</f>
        <v>18740</v>
      </c>
      <c r="V8" s="10" t="n">
        <f aca="false">U8+V7</f>
        <v>18927</v>
      </c>
      <c r="W8" s="10" t="n">
        <f aca="false">V8+W7</f>
        <v>19114</v>
      </c>
      <c r="X8" s="10" t="n">
        <f aca="false">W8+X7</f>
        <v>19301</v>
      </c>
      <c r="Y8" s="10" t="n">
        <f aca="false">X8+Y7</f>
        <v>19488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</cols>
  <sheetData>
    <row r="1" customFormat="false" ht="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2" t="s">
        <v>43</v>
      </c>
    </row>
    <row r="4" customFormat="false" ht="15" hidden="false" customHeight="false" outlineLevel="0" collapsed="false">
      <c r="A4" s="0" t="s">
        <v>44</v>
      </c>
      <c r="B4" s="11" t="n">
        <f aca="false">Assumptions!B4</f>
        <v>15000</v>
      </c>
    </row>
    <row r="5" customFormat="false" ht="15" hidden="false" customHeight="false" outlineLevel="0" collapsed="false">
      <c r="A5" s="0" t="s">
        <v>45</v>
      </c>
      <c r="B5" s="11" t="n">
        <f aca="false">Assumptions!B6</f>
        <v>687</v>
      </c>
    </row>
    <row r="6" customFormat="false" ht="15" hidden="false" customHeight="false" outlineLevel="0" collapsed="false">
      <c r="A6" s="0" t="s">
        <v>46</v>
      </c>
      <c r="B6" s="11" t="n">
        <f aca="false">Assumptions!B5</f>
        <v>500</v>
      </c>
    </row>
    <row r="7" customFormat="false" ht="15" hidden="false" customHeight="false" outlineLevel="0" collapsed="false">
      <c r="A7" s="0" t="s">
        <v>47</v>
      </c>
      <c r="B7" s="12" t="n">
        <f aca="false">Assumptions!B12</f>
        <v>-187</v>
      </c>
    </row>
    <row r="9" customFormat="false" ht="15" hidden="false" customHeight="false" outlineLevel="0" collapsed="false">
      <c r="A9" s="2" t="s">
        <v>48</v>
      </c>
    </row>
    <row r="10" customFormat="false" ht="15" hidden="false" customHeight="false" outlineLevel="0" collapsed="false">
      <c r="A10" s="0" t="s">
        <v>49</v>
      </c>
      <c r="B10" s="13" t="n">
        <f aca="false">Assumptions!B13</f>
        <v>-80.2139037433155</v>
      </c>
    </row>
    <row r="11" customFormat="false" ht="15" hidden="false" customHeight="false" outlineLevel="0" collapsed="false">
      <c r="A11" s="0" t="s">
        <v>50</v>
      </c>
      <c r="B11" s="9" t="str">
        <f aca="true">TEXT(TODAY() + (B10*30), "mmm d, yyyy")</f>
        <v>Aug 23, 2019</v>
      </c>
    </row>
    <row r="13" customFormat="false" ht="15" hidden="false" customHeight="false" outlineLevel="0" collapsed="false">
      <c r="A13" s="2" t="s">
        <v>51</v>
      </c>
    </row>
    <row r="14" customFormat="false" ht="15" hidden="false" customHeight="false" outlineLevel="0" collapsed="false">
      <c r="A14" s="0" t="s">
        <v>10</v>
      </c>
      <c r="B14" s="14" t="n">
        <f aca="false">Assumptions!B14</f>
        <v>500</v>
      </c>
    </row>
    <row r="15" customFormat="false" ht="15" hidden="false" customHeight="false" outlineLevel="0" collapsed="false">
      <c r="A15" s="0" t="s">
        <v>52</v>
      </c>
      <c r="B15" s="12" t="n">
        <f aca="false">B6-B14</f>
        <v>0</v>
      </c>
    </row>
    <row r="16" customFormat="false" ht="15" hidden="false" customHeight="false" outlineLevel="0" collapsed="false">
      <c r="A16" s="0" t="s">
        <v>53</v>
      </c>
      <c r="B16" s="15" t="n">
        <f aca="false">-B15/B6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2026-03-27T00:33:54Z</dcterms:created>
  <dc:creator>openpyxl</dc:creator>
  <dc:description/>
  <dc:language>en-US</dc:language>
  <cp:lastModifiedBy/>
  <dcterms:modified xsi:type="dcterms:W3CDTF">2026-03-27T00:33:54Z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