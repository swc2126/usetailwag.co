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2-Month Foreca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<sst xmlns="http://schemas.openxmlformats.org/spreadsheetml/2006/main" count="40" uniqueCount="38">
  <si>
    <t xml:space="preserve">TailWag 12-Month Revenue Forecast</t>
  </si>
  <si>
    <t xml:space="preserve">ASSUMPTIONS</t>
  </si>
  <si>
    <t xml:space="preserve">Starting Clients</t>
  </si>
  <si>
    <t xml:space="preserve">Monthly New Client Additions</t>
  </si>
  <si>
    <t xml:space="preserve">2-3 (modeled at 2.5 avg)</t>
  </si>
  <si>
    <t xml:space="preserve">Average Client MRR</t>
  </si>
  <si>
    <t xml:space="preserve">Variable Costs (% of Revenue)</t>
  </si>
  <si>
    <t xml:space="preserve">Fixed Costs (Monthly)</t>
  </si>
  <si>
    <t xml:space="preserve">Month</t>
  </si>
  <si>
    <t xml:space="preserve">Month Year</t>
  </si>
  <si>
    <t xml:space="preserve">New Clients Added</t>
  </si>
  <si>
    <t xml:space="preserve">Ending Clients</t>
  </si>
  <si>
    <t xml:space="preserve">Revenue</t>
  </si>
  <si>
    <t xml:space="preserve">Variable Costs</t>
  </si>
  <si>
    <t xml:space="preserve">Fixed Costs</t>
  </si>
  <si>
    <t xml:space="preserve">Total Costs</t>
  </si>
  <si>
    <t xml:space="preserve">Gross Profit</t>
  </si>
  <si>
    <t xml:space="preserve">Gross Margin %</t>
  </si>
  <si>
    <t xml:space="preserve">Cumulative Cash</t>
  </si>
  <si>
    <t xml:space="preserve">Cumulative Clients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</si>
  <si>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</si>
  <si>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</si>
  <si>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</si>
  <si>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</si>
  <si>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</si>
  <si>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</si>
  <si>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</si>
  <si>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</si>
  <si>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</si>
  <si>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Jan 2027</t>
  </si>
  <si>
    <t xml:space="preserve">Feb 2027</t>
  </si>
  <si>
    <t xml:space="preserve">SUMMARY</t>
  </si>
  <si>
    <t xml:space="preserve">Total 12-Month Revenue:</t>
  </si>
  <si>
    <t xml:space="preserve">Total 12-Month Costs:</t>
  </si>
  <si>
    <t xml:space="preserve">Total 12-Month Profit:</t>
  </si>
  <si>
    <t xml:space="preserve">Average Monthly Profit:</t>
  </si>
  <si>
    <t xml:space="preserve">Ending Client Count:</t>
  </si>
  <si>
    <t xml:space="preserve">Average Gross Margin: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</si>
</sst>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\$* #,##0.00_);_(\$* \(#,##0.00\);_(\$* \-??_);_(@_)"/>
    <numFmt numFmtId="166" formatCode="0.00%"/>
    <numFmt numFmtId="167" formatCode="0"/>
    <numFmt numFmtId="168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008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366092"/>
        <bgColor rgb="FF3333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4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11" min="3" style="0" width="12"/>
    <col collapsed="false" customWidth="true" hidden="false" outlineLevel="0" max="13" min="12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0" t="n">
        <v>3</v>
      </c>
    </row>
    <row r="5" customFormat="false" ht="15" hidden="false" customHeight="false" outlineLevel="0" collapsed="false">
      <c r="A5" s="3" t="s">
        <v>3</v>
      </c>
      <c r="B5" s="0" t="s">
        <v>4</v>
      </c>
    </row>
    <row r="6" customFormat="false" ht="15" hidden="false" customHeight="false" outlineLevel="0" collapsed="false">
      <c r="A6" s="3" t="s">
        <v>5</v>
      </c>
      <c r="B6" s="4" t="n">
        <v>229</v>
      </c>
    </row>
    <row r="7" customFormat="false" ht="15" hidden="false" customHeight="false" outlineLevel="0" collapsed="false">
      <c r="A7" s="3" t="s">
        <v>6</v>
      </c>
      <c r="B7" s="5" t="n">
        <v>0.15</v>
      </c>
    </row>
    <row r="8" customFormat="false" ht="15" hidden="false" customHeight="false" outlineLevel="0" collapsed="false">
      <c r="A8" s="3" t="s">
        <v>7</v>
      </c>
      <c r="B8" s="4" t="n">
        <v>500</v>
      </c>
    </row>
    <row r="11" customFormat="false" ht="30" hidden="false" customHeight="true" outlineLevel="0" collapsed="false">
      <c r="A11" s="6" t="s">
        <v>8</v>
      </c>
      <c r="B11" s="6" t="s">
        <v>9</v>
      </c>
      <c r="C11" s="6" t="s">
        <v>2</v>
      </c>
      <c r="D11" s="6" t="s">
        <v>10</v>
      </c>
      <c r="E11" s="6" t="s">
        <v>11</v>
      </c>
      <c r="F11" s="6" t="s">
        <v>12</v>
      </c>
      <c r="G11" s="6" t="s">
        <v>13</v>
      </c>
      <c r="H11" s="6" t="s">
        <v>14</v>
      </c>
      <c r="I11" s="6" t="s">
        <v>15</v>
      </c>
      <c r="J11" s="6" t="s">
        <v>16</v>
      </c>
      <c r="K11" s="6" t="s">
        <v>17</v>
      </c>
      <c r="L11" s="6" t="s">
        <v>18</v>
      </c>
      <c r="M11" s="6" t="s">
        <v>19</v>
      </c>
    </row>
    <row r="12" customFormat="false" ht="15" hidden="false" customHeight="false" outlineLevel="0" collapsed="false">
      <c r="A12" s="7" t="n">
        <v>1</v>
      </c>
      <c r="B12" s="8" t="s">
        <v>20</v>
      </c>
      <c r="C12" s="7" t="n">
        <v>3</v>
      </c>
      <c r="D12" s="7" t="n">
        <v>2</v>
      </c>
      <c r="E12" s="7" t="n">
        <f aca="false">C12+D12</f>
        <v>5</v>
      </c>
      <c r="F12" s="9" t="n">
        <f aca="false">E12*$B$6</f>
        <v>1145</v>
      </c>
      <c r="G12" s="9" t="n">
        <f aca="false">F12*$B$7</f>
        <v>171.75</v>
      </c>
      <c r="H12" s="9" t="n">
        <f aca="false">$B$8</f>
        <v>500</v>
      </c>
      <c r="I12" s="9" t="n">
        <f aca="false">G12+H12</f>
        <v>671.75</v>
      </c>
      <c r="J12" s="9" t="n">
        <f aca="false">F12-I12</f>
        <v>473.25</v>
      </c>
      <c r="K12" s="10" t="n">
        <f aca="false">IF(F12=0,0,J12/F12)</f>
        <v>0.413318777292576</v>
      </c>
      <c r="L12" s="9" t="n">
        <f aca="false">J12</f>
        <v>473.25</v>
      </c>
      <c r="M12" s="7" t="n">
        <f aca="false">E12</f>
        <v>5</v>
      </c>
    </row>
    <row r="13" customFormat="false" ht="15" hidden="false" customHeight="false" outlineLevel="0" collapsed="false">
      <c r="A13" s="11" t="n">
        <v>2</v>
      </c>
      <c r="B13" s="12" t="s">
        <v>21</v>
      </c>
      <c r="C13" s="11" t="n">
        <f aca="false">E12</f>
        <v>5</v>
      </c>
      <c r="D13" s="11" t="n">
        <v>3</v>
      </c>
      <c r="E13" s="11" t="n">
        <f aca="false">C13+D13</f>
        <v>8</v>
      </c>
      <c r="F13" s="13" t="n">
        <f aca="false">E13*$B$6</f>
        <v>1832</v>
      </c>
      <c r="G13" s="13" t="n">
        <f aca="false">F13*$B$7</f>
        <v>274.8</v>
      </c>
      <c r="H13" s="13" t="n">
        <f aca="false">$B$8</f>
        <v>500</v>
      </c>
      <c r="I13" s="13" t="n">
        <f aca="false">G13+H13</f>
        <v>774.8</v>
      </c>
      <c r="J13" s="13" t="n">
        <f aca="false">F13-I13</f>
        <v>1057.2</v>
      </c>
      <c r="K13" s="14" t="n">
        <f aca="false">IF(F13=0,0,J13/F13)</f>
        <v>0.57707423580786</v>
      </c>
      <c r="L13" s="13" t="n">
        <f aca="false">L12+J13</f>
        <v>1530.45</v>
      </c>
      <c r="M13" s="11" t="n">
        <f aca="false">E13</f>
        <v>8</v>
      </c>
    </row>
    <row r="14" customFormat="false" ht="15" hidden="false" customHeight="false" outlineLevel="0" collapsed="false">
      <c r="A14" s="7" t="n">
        <v>3</v>
      </c>
      <c r="B14" s="8" t="s">
        <v>21</v>
      </c>
      <c r="C14" s="7" t="n">
        <f aca="false">E13</f>
        <v>8</v>
      </c>
      <c r="D14" s="7" t="n">
        <v>2</v>
      </c>
      <c r="E14" s="7" t="n">
        <f aca="false">C14+D14</f>
        <v>10</v>
      </c>
      <c r="F14" s="9" t="n">
        <f aca="false">E14*$B$6</f>
        <v>2290</v>
      </c>
      <c r="G14" s="9" t="n">
        <f aca="false">F14*$B$7</f>
        <v>343.5</v>
      </c>
      <c r="H14" s="9" t="n">
        <f aca="false">$B$8</f>
        <v>500</v>
      </c>
      <c r="I14" s="9" t="n">
        <f aca="false">G14+H14</f>
        <v>843.5</v>
      </c>
      <c r="J14" s="9" t="n">
        <f aca="false">F14-I14</f>
        <v>1446.5</v>
      </c>
      <c r="K14" s="10" t="n">
        <f aca="false">IF(F14=0,0,J14/F14)</f>
        <v>0.631659388646288</v>
      </c>
      <c r="L14" s="9" t="n">
        <f aca="false">L13+J14</f>
        <v>2976.95</v>
      </c>
      <c r="M14" s="7" t="n">
        <f aca="false">E14</f>
        <v>10</v>
      </c>
    </row>
    <row r="15" customFormat="false" ht="15" hidden="false" customHeight="false" outlineLevel="0" collapsed="false">
      <c r="A15" s="11" t="n">
        <v>4</v>
      </c>
      <c r="B15" s="12" t="s">
        <v>22</v>
      </c>
      <c r="C15" s="11" t="n">
        <f aca="false">E14</f>
        <v>10</v>
      </c>
      <c r="D15" s="11" t="n">
        <v>3</v>
      </c>
      <c r="E15" s="11" t="n">
        <f aca="false">C15+D15</f>
        <v>13</v>
      </c>
      <c r="F15" s="13" t="n">
        <f aca="false">E15*$B$6</f>
        <v>2977</v>
      </c>
      <c r="G15" s="13" t="n">
        <f aca="false">F15*$B$7</f>
        <v>446.55</v>
      </c>
      <c r="H15" s="13" t="n">
        <f aca="false">$B$8</f>
        <v>500</v>
      </c>
      <c r="I15" s="13" t="n">
        <f aca="false">G15+H15</f>
        <v>946.55</v>
      </c>
      <c r="J15" s="13" t="n">
        <f aca="false">F15-I15</f>
        <v>2030.45</v>
      </c>
      <c r="K15" s="14" t="n">
        <f aca="false">IF(F15=0,0,J15/F15)</f>
        <v>0.682045683574068</v>
      </c>
      <c r="L15" s="13" t="n">
        <f aca="false">L14+J15</f>
        <v>5007.4</v>
      </c>
      <c r="M15" s="11" t="n">
        <f aca="false">E15</f>
        <v>13</v>
      </c>
    </row>
    <row r="16" customFormat="false" ht="15" hidden="false" customHeight="false" outlineLevel="0" collapsed="false">
      <c r="A16" s="7" t="n">
        <v>5</v>
      </c>
      <c r="B16" s="8" t="s">
        <v>23</v>
      </c>
      <c r="C16" s="7" t="n">
        <f aca="false">E15</f>
        <v>13</v>
      </c>
      <c r="D16" s="7" t="n">
        <v>2</v>
      </c>
      <c r="E16" s="7" t="n">
        <f aca="false">C16+D16</f>
        <v>15</v>
      </c>
      <c r="F16" s="9" t="n">
        <f aca="false">E16*$B$6</f>
        <v>3435</v>
      </c>
      <c r="G16" s="9" t="n">
        <f aca="false">F16*$B$7</f>
        <v>515.25</v>
      </c>
      <c r="H16" s="9" t="n">
        <f aca="false">$B$8</f>
        <v>500</v>
      </c>
      <c r="I16" s="9" t="n">
        <f aca="false">G16+H16</f>
        <v>1015.25</v>
      </c>
      <c r="J16" s="9" t="n">
        <f aca="false">F16-I16</f>
        <v>2419.75</v>
      </c>
      <c r="K16" s="10" t="n">
        <f aca="false">IF(F16=0,0,J16/F16)</f>
        <v>0.704439592430859</v>
      </c>
      <c r="L16" s="9" t="n">
        <f aca="false">L15+J16</f>
        <v>7427.15</v>
      </c>
      <c r="M16" s="7" t="n">
        <f aca="false">E16</f>
        <v>15</v>
      </c>
    </row>
    <row r="17" customFormat="false" ht="15" hidden="false" customHeight="false" outlineLevel="0" collapsed="false">
      <c r="A17" s="11" t="n">
        <v>6</v>
      </c>
      <c r="B17" s="12" t="s">
        <v>24</v>
      </c>
      <c r="C17" s="11" t="n">
        <f aca="false">E16</f>
        <v>15</v>
      </c>
      <c r="D17" s="11" t="n">
        <v>3</v>
      </c>
      <c r="E17" s="11" t="n">
        <f aca="false">C17+D17</f>
        <v>18</v>
      </c>
      <c r="F17" s="13" t="n">
        <f aca="false">E17*$B$6</f>
        <v>4122</v>
      </c>
      <c r="G17" s="13" t="n">
        <f aca="false">F17*$B$7</f>
        <v>618.3</v>
      </c>
      <c r="H17" s="13" t="n">
        <f aca="false">$B$8</f>
        <v>500</v>
      </c>
      <c r="I17" s="13" t="n">
        <f aca="false">G17+H17</f>
        <v>1118.3</v>
      </c>
      <c r="J17" s="13" t="n">
        <f aca="false">F17-I17</f>
        <v>3003.7</v>
      </c>
      <c r="K17" s="14" t="n">
        <f aca="false">IF(F17=0,0,J17/F17)</f>
        <v>0.728699660359049</v>
      </c>
      <c r="L17" s="13" t="n">
        <f aca="false">L16+J17</f>
        <v>10430.85</v>
      </c>
      <c r="M17" s="11" t="n">
        <f aca="false">E17</f>
        <v>18</v>
      </c>
    </row>
    <row r="18" customFormat="false" ht="15" hidden="false" customHeight="false" outlineLevel="0" collapsed="false">
      <c r="A18" s="7" t="n">
        <v>7</v>
      </c>
      <c r="B18" s="8" t="s">
        <v>25</v>
      </c>
      <c r="C18" s="7" t="n">
        <f aca="false">E17</f>
        <v>18</v>
      </c>
      <c r="D18" s="7" t="n">
        <v>2</v>
      </c>
      <c r="E18" s="7" t="n">
        <f aca="false">C18+D18</f>
        <v>20</v>
      </c>
      <c r="F18" s="9" t="n">
        <f aca="false">E18*$B$6</f>
        <v>4580</v>
      </c>
      <c r="G18" s="9" t="n">
        <f aca="false">F18*$B$7</f>
        <v>687</v>
      </c>
      <c r="H18" s="9" t="n">
        <f aca="false">$B$8</f>
        <v>500</v>
      </c>
      <c r="I18" s="9" t="n">
        <f aca="false">G18+H18</f>
        <v>1187</v>
      </c>
      <c r="J18" s="9" t="n">
        <f aca="false">F18-I18</f>
        <v>3393</v>
      </c>
      <c r="K18" s="10" t="n">
        <f aca="false">IF(F18=0,0,J18/F18)</f>
        <v>0.740829694323144</v>
      </c>
      <c r="L18" s="9" t="n">
        <f aca="false">L17+J18</f>
        <v>13823.85</v>
      </c>
      <c r="M18" s="7" t="n">
        <f aca="false">E18</f>
        <v>20</v>
      </c>
    </row>
    <row r="19" customFormat="false" ht="15" hidden="false" customHeight="false" outlineLevel="0" collapsed="false">
      <c r="A19" s="11" t="n">
        <v>8</v>
      </c>
      <c r="B19" s="12" t="s">
        <v>26</v>
      </c>
      <c r="C19" s="11" t="n">
        <f aca="false">E18</f>
        <v>20</v>
      </c>
      <c r="D19" s="11" t="n">
        <v>3</v>
      </c>
      <c r="E19" s="11" t="n">
        <f aca="false">C19+D19</f>
        <v>23</v>
      </c>
      <c r="F19" s="13" t="n">
        <f aca="false">E19*$B$6</f>
        <v>5267</v>
      </c>
      <c r="G19" s="13" t="n">
        <f aca="false">F19*$B$7</f>
        <v>790.05</v>
      </c>
      <c r="H19" s="13" t="n">
        <f aca="false">$B$8</f>
        <v>500</v>
      </c>
      <c r="I19" s="13" t="n">
        <f aca="false">G19+H19</f>
        <v>1290.05</v>
      </c>
      <c r="J19" s="13" t="n">
        <f aca="false">F19-I19</f>
        <v>3976.95</v>
      </c>
      <c r="K19" s="14" t="n">
        <f aca="false">IF(F19=0,0,J19/F19)</f>
        <v>0.75506929941143</v>
      </c>
      <c r="L19" s="13" t="n">
        <f aca="false">L18+J19</f>
        <v>17800.8</v>
      </c>
      <c r="M19" s="11" t="n">
        <f aca="false">E19</f>
        <v>23</v>
      </c>
    </row>
    <row r="20" customFormat="false" ht="15" hidden="false" customHeight="false" outlineLevel="0" collapsed="false">
      <c r="A20" s="7" t="n">
        <v>9</v>
      </c>
      <c r="B20" s="8" t="s">
        <v>27</v>
      </c>
      <c r="C20" s="7" t="n">
        <f aca="false">E19</f>
        <v>23</v>
      </c>
      <c r="D20" s="7" t="n">
        <v>2</v>
      </c>
      <c r="E20" s="7" t="n">
        <f aca="false">C20+D20</f>
        <v>25</v>
      </c>
      <c r="F20" s="9" t="n">
        <f aca="false">E20*$B$6</f>
        <v>5725</v>
      </c>
      <c r="G20" s="9" t="n">
        <f aca="false">F20*$B$7</f>
        <v>858.75</v>
      </c>
      <c r="H20" s="9" t="n">
        <f aca="false">$B$8</f>
        <v>500</v>
      </c>
      <c r="I20" s="9" t="n">
        <f aca="false">G20+H20</f>
        <v>1358.75</v>
      </c>
      <c r="J20" s="9" t="n">
        <f aca="false">F20-I20</f>
        <v>4366.25</v>
      </c>
      <c r="K20" s="10" t="n">
        <f aca="false">IF(F20=0,0,J20/F20)</f>
        <v>0.762663755458515</v>
      </c>
      <c r="L20" s="9" t="n">
        <f aca="false">L19+J20</f>
        <v>22167.05</v>
      </c>
      <c r="M20" s="7" t="n">
        <f aca="false">E20</f>
        <v>25</v>
      </c>
    </row>
    <row r="21" customFormat="false" ht="15" hidden="false" customHeight="false" outlineLevel="0" collapsed="false">
      <c r="A21" s="11" t="n">
        <v>10</v>
      </c>
      <c r="B21" s="12" t="s">
        <v>28</v>
      </c>
      <c r="C21" s="11" t="n">
        <f aca="false">E20</f>
        <v>25</v>
      </c>
      <c r="D21" s="11" t="n">
        <v>3</v>
      </c>
      <c r="E21" s="11" t="n">
        <f aca="false">C21+D21</f>
        <v>28</v>
      </c>
      <c r="F21" s="13" t="n">
        <f aca="false">E21*$B$6</f>
        <v>6412</v>
      </c>
      <c r="G21" s="13" t="n">
        <f aca="false">F21*$B$7</f>
        <v>961.8</v>
      </c>
      <c r="H21" s="13" t="n">
        <f aca="false">$B$8</f>
        <v>500</v>
      </c>
      <c r="I21" s="13" t="n">
        <f aca="false">G21+H21</f>
        <v>1461.8</v>
      </c>
      <c r="J21" s="13" t="n">
        <f aca="false">F21-I21</f>
        <v>4950.2</v>
      </c>
      <c r="K21" s="14" t="n">
        <f aca="false">IF(F21=0,0,J21/F21)</f>
        <v>0.772021210230817</v>
      </c>
      <c r="L21" s="13" t="n">
        <f aca="false">L20+J21</f>
        <v>27117.25</v>
      </c>
      <c r="M21" s="11" t="n">
        <f aca="false">E21</f>
        <v>28</v>
      </c>
    </row>
    <row r="22" customFormat="false" ht="15" hidden="false" customHeight="false" outlineLevel="0" collapsed="false">
      <c r="A22" s="7" t="n">
        <v>11</v>
      </c>
      <c r="B22" s="8" t="s">
        <v>29</v>
      </c>
      <c r="C22" s="7" t="n">
        <f aca="false">E21</f>
        <v>28</v>
      </c>
      <c r="D22" s="7" t="n">
        <v>2</v>
      </c>
      <c r="E22" s="7" t="n">
        <f aca="false">C22+D22</f>
        <v>30</v>
      </c>
      <c r="F22" s="9" t="n">
        <f aca="false">E22*$B$6</f>
        <v>6870</v>
      </c>
      <c r="G22" s="9" t="n">
        <f aca="false">F22*$B$7</f>
        <v>1030.5</v>
      </c>
      <c r="H22" s="9" t="n">
        <f aca="false">$B$8</f>
        <v>500</v>
      </c>
      <c r="I22" s="9" t="n">
        <f aca="false">G22+H22</f>
        <v>1530.5</v>
      </c>
      <c r="J22" s="9" t="n">
        <f aca="false">F22-I22</f>
        <v>5339.5</v>
      </c>
      <c r="K22" s="10" t="n">
        <f aca="false">IF(F22=0,0,J22/F22)</f>
        <v>0.777219796215429</v>
      </c>
      <c r="L22" s="9" t="n">
        <f aca="false">L21+J22</f>
        <v>32456.75</v>
      </c>
      <c r="M22" s="7" t="n">
        <f aca="false">E22</f>
        <v>30</v>
      </c>
    </row>
    <row r="23" customFormat="false" ht="15" hidden="false" customHeight="false" outlineLevel="0" collapsed="false">
      <c r="A23" s="11" t="n">
        <v>12</v>
      </c>
      <c r="B23" s="12" t="s">
        <v>30</v>
      </c>
      <c r="C23" s="11" t="n">
        <f aca="false">E22</f>
        <v>30</v>
      </c>
      <c r="D23" s="11" t="n">
        <v>3</v>
      </c>
      <c r="E23" s="11" t="n">
        <f aca="false">C23+D23</f>
        <v>33</v>
      </c>
      <c r="F23" s="13" t="n">
        <f aca="false">E23*$B$6</f>
        <v>7557</v>
      </c>
      <c r="G23" s="13" t="n">
        <f aca="false">F23*$B$7</f>
        <v>1133.55</v>
      </c>
      <c r="H23" s="13" t="n">
        <f aca="false">$B$8</f>
        <v>500</v>
      </c>
      <c r="I23" s="13" t="n">
        <f aca="false">G23+H23</f>
        <v>1633.55</v>
      </c>
      <c r="J23" s="13" t="n">
        <f aca="false">F23-I23</f>
        <v>5923.45</v>
      </c>
      <c r="K23" s="14" t="n">
        <f aca="false">IF(F23=0,0,J23/F23)</f>
        <v>0.783836178377663</v>
      </c>
      <c r="L23" s="13" t="n">
        <f aca="false">L22+J23</f>
        <v>38380.2</v>
      </c>
      <c r="M23" s="11" t="n">
        <f aca="false">E23</f>
        <v>33</v>
      </c>
    </row>
    <row r="25" customFormat="false" ht="15" hidden="false" customHeight="false" outlineLevel="0" collapsed="false">
      <c r="A25" s="2" t="s">
        <v>31</v>
      </c>
    </row>
    <row r="27" customFormat="false" ht="15" hidden="false" customHeight="false" outlineLevel="0" collapsed="false">
      <c r="A27" s="0" t="s">
        <v>32</v>
      </c>
      <c r="B27" s="15" t="n">
        <f aca="false">SUM(F12:F23)</f>
        <v>52212</v>
      </c>
    </row>
    <row r="28" customFormat="false" ht="15" hidden="false" customHeight="false" outlineLevel="0" collapsed="false">
      <c r="A28" s="0" t="s">
        <v>33</v>
      </c>
      <c r="B28" s="15" t="n">
        <f aca="false">SUM(I12:I23)</f>
        <v>13831.8</v>
      </c>
    </row>
    <row r="29" customFormat="false" ht="15" hidden="false" customHeight="false" outlineLevel="0" collapsed="false">
      <c r="A29" s="0" t="s">
        <v>34</v>
      </c>
      <c r="B29" s="16" t="n">
        <f aca="false">SUM(J12:J23)</f>
        <v>38380.2</v>
      </c>
    </row>
    <row r="30" customFormat="false" ht="15" hidden="false" customHeight="false" outlineLevel="0" collapsed="false">
      <c r="A30" s="0" t="s">
        <v>35</v>
      </c>
      <c r="B30" s="15" t="n">
        <f aca="false">AVERAGE(J12:J23)</f>
        <v>3198.35</v>
      </c>
    </row>
    <row r="31" customFormat="false" ht="15" hidden="false" customHeight="false" outlineLevel="0" collapsed="false">
      <c r="A31" s="0" t="s">
        <v>36</v>
      </c>
      <c r="B31" s="17" t="n">
        <f aca="false">E23</f>
        <v>33</v>
      </c>
    </row>
    <row r="32" customFormat="false" ht="15" hidden="false" customHeight="false" outlineLevel="0" collapsed="false">
      <c r="A32" s="0" t="s">
        <v>37</v>
      </c>
      <c r="B32" s="18" t="n">
        <f aca="false">AVERAGE(K12:K23)</f>
        <v>0.694073106010642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2026-03-27T00:33:25Z</dcterms:created>
  <dc:creator>openpyxl</dc:creator>
  <dc:description/>
  <dc:language>en-US</dc:language>
  <cp:lastModifiedBy/>
  <dcterms:modified xsi:type="dcterms:W3CDTF">2026-03-27T00:33:25Z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