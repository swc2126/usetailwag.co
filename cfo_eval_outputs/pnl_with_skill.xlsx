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ch 2026 P&amp;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<sst xmlns="http://schemas.openxmlformats.org/spreadsheetml/2006/main" count="32" uniqueCount="32">
  <si>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TailWag - Monthly P&amp;L Statement</t>
  </si>
  <si>
    <t xml:space="preserve">March 2026</t>
  </si>
  <si>
    <t xml:space="preserve">Description</t>
  </si>
  <si>
    <t xml:space="preserve">Amount</t>
  </si>
  <si>
    <t xml:space="preserve">REVENUE</t>
  </si>
  <si>
    <t xml:space="preserve">  Growth Plan subscriptions (2 @ $249/mo)</t>
  </si>
  <si>
    <t xml:space="preserve">  Starter Plan subscriptions (1 @ $189/mo)</t>
  </si>
  <si>
    <t xml:space="preserve">Total Revenue</t>
  </si>
  <si>
    <t xml:space="preserve">COST OF GOODS SOLD</t>
  </si>
  <si>
    <t xml:space="preserve">  Twilio SMS</t>
  </si>
  <si>
    <t xml:space="preserve">  Anthropic API</t>
  </si>
  <si>
    <t xml:space="preserve">  Render Hosting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</si>
  <si>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</si>
  <si>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</si>
  <si>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</si>
  <si>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</si>
  <si>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  Salaries &amp; Wages</t>
  </si>
  <si>
    <t xml:space="preserve">Total Operating Expenses</t>
  </si>
  <si>
    <t xml:space="preserve">EBITDA</t>
  </si>
  <si>
    <t xml:space="preserve">EBITDA Margin %</t>
  </si>
  <si>
    <t xml:space="preserve">Depreciation &amp; Amortization</t>
  </si>
  <si>
    <t xml:space="preserve">Interest Expense</t>
  </si>
  <si>
    <t xml:space="preserve">Taxes</t>
  </si>
  <si>
    <t xml:space="preserve">NET INCOME</t>
  </si>
  <si>
    <t xml:space="preserve">Net Margin %</t>
  </si>
  <si>
    <t xml:space="preserve">KEY METRICS</t>
  </si>
  <si>
    <t xml:space="preserve">  Monthly Recurring Revenue (MRR)</t>
  </si>
  <si>
    <t xml:space="preserve">  Annual Run Rate (ARR)</t>
  </si>
  <si>
    <t xml:space="preserve">  Total Customers</t>
  </si>
  <si>
    <t xml:space="preserve">Legend:</t>
  </si>
  <si>
    <t xml:space="preserve">Blue text = Inputs (you can change these)</t>
  </si>
  <si>
    <t xml:space="preserve">Black text = Formulas (calculated automatically)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</si>
</sst>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"/>
    <numFmt numFmtId="167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i val="true"/>
      <sz val="9"/>
      <name val="Cambria"/>
      <family val="0"/>
      <charset val="1"/>
    </font>
    <font>
      <i val="true"/>
      <sz val="9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E7E6E6"/>
      </patternFill>
    </fill>
    <fill>
      <patternFill patternType="solid">
        <fgColor rgb="FFE7E6E6"/>
        <bgColor rgb="FFF2F2F2"/>
      </patternFill>
    </fill>
    <fill>
      <patternFill patternType="solid">
        <fgColor rgb="FFD4E6D4"/>
        <bgColor rgb="FFE7E6E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6D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</row>
    <row r="6" customFormat="false" ht="15" hidden="false" customHeight="false" outlineLevel="0" collapsed="false">
      <c r="A6" s="0" t="s">
        <v>5</v>
      </c>
      <c r="B6" s="6" t="n">
        <v>498</v>
      </c>
    </row>
    <row r="7" customFormat="false" ht="15" hidden="false" customHeight="false" outlineLevel="0" collapsed="false">
      <c r="A7" s="0" t="s">
        <v>6</v>
      </c>
      <c r="B7" s="6" t="n">
        <v>189</v>
      </c>
    </row>
    <row r="8" customFormat="false" ht="15" hidden="false" customHeight="false" outlineLevel="0" collapsed="false">
      <c r="A8" s="7" t="s">
        <v>7</v>
      </c>
      <c r="B8" s="8" t="n">
        <f aca="false">SUM(B6:B7)</f>
        <v>687</v>
      </c>
    </row>
    <row r="10" customFormat="false" ht="15" hidden="false" customHeight="false" outlineLevel="0" collapsed="false">
      <c r="A10" s="5" t="s">
        <v>8</v>
      </c>
    </row>
    <row r="11" customFormat="false" ht="15" hidden="false" customHeight="false" outlineLevel="0" collapsed="false">
      <c r="A11" s="0" t="s">
        <v>9</v>
      </c>
      <c r="B11" s="6" t="n">
        <v>85</v>
      </c>
    </row>
    <row r="12" customFormat="false" ht="15" hidden="false" customHeight="false" outlineLevel="0" collapsed="false">
      <c r="A12" s="0" t="s">
        <v>10</v>
      </c>
      <c r="B12" s="6" t="n">
        <v>20</v>
      </c>
    </row>
    <row r="13" customFormat="false" ht="15" hidden="false" customHeight="false" outlineLevel="0" collapsed="false">
      <c r="A13" s="0" t="s">
        <v>11</v>
      </c>
      <c r="B13" s="6" t="n">
        <v>49</v>
      </c>
    </row>
    <row r="14" customFormat="false" ht="15" hidden="false" customHeight="false" outlineLevel="0" collapsed="false">
      <c r="A14" s="7" t="s">
        <v>12</v>
      </c>
      <c r="B14" s="8" t="n">
        <f aca="false">SUM(B11:B13)</f>
        <v>154</v>
      </c>
    </row>
    <row r="15" customFormat="false" ht="15" hidden="false" customHeight="false" outlineLevel="0" collapsed="false">
      <c r="A15" s="7" t="s">
        <v>13</v>
      </c>
      <c r="B15" s="8" t="n">
        <f aca="false">B8-B14</f>
        <v>533</v>
      </c>
    </row>
    <row r="16" customFormat="false" ht="15" hidden="false" customHeight="false" outlineLevel="0" collapsed="false">
      <c r="A16" s="7" t="s">
        <v>14</v>
      </c>
      <c r="B16" s="9" t="n">
        <f aca="false">B15/B8</f>
        <v>0.775836972343523</v>
      </c>
    </row>
    <row r="18" customFormat="false" ht="15" hidden="false" customHeight="false" outlineLevel="0" collapsed="false">
      <c r="A18" s="5" t="s">
        <v>15</v>
      </c>
    </row>
    <row r="19" customFormat="false" ht="15" hidden="false" customHeight="false" outlineLevel="0" collapsed="false">
      <c r="A19" s="0" t="s">
        <v>16</v>
      </c>
      <c r="B19" s="6" t="n">
        <v>0</v>
      </c>
    </row>
    <row r="20" customFormat="false" ht="15" hidden="false" customHeight="false" outlineLevel="0" collapsed="false">
      <c r="A20" s="7" t="s">
        <v>17</v>
      </c>
      <c r="B20" s="8" t="n">
        <f aca="false">SUM(B19)</f>
        <v>0</v>
      </c>
    </row>
    <row r="21" customFormat="false" ht="15" hidden="false" customHeight="false" outlineLevel="0" collapsed="false">
      <c r="A21" s="7" t="s">
        <v>18</v>
      </c>
      <c r="B21" s="8" t="n">
        <f aca="false">B15-B20</f>
        <v>533</v>
      </c>
    </row>
    <row r="22" customFormat="false" ht="15" hidden="false" customHeight="false" outlineLevel="0" collapsed="false">
      <c r="A22" s="7" t="s">
        <v>19</v>
      </c>
      <c r="B22" s="9" t="n">
        <f aca="false">B21/B8</f>
        <v>0.775836972343523</v>
      </c>
    </row>
    <row r="24" customFormat="false" ht="15" hidden="false" customHeight="false" outlineLevel="0" collapsed="false">
      <c r="A24" s="0" t="s">
        <v>20</v>
      </c>
      <c r="B24" s="6" t="n">
        <v>0</v>
      </c>
    </row>
    <row r="25" customFormat="false" ht="15" hidden="false" customHeight="false" outlineLevel="0" collapsed="false">
      <c r="A25" s="0" t="s">
        <v>21</v>
      </c>
      <c r="B25" s="6" t="n">
        <v>0</v>
      </c>
    </row>
    <row r="26" customFormat="false" ht="15" hidden="false" customHeight="false" outlineLevel="0" collapsed="false">
      <c r="A26" s="0" t="s">
        <v>22</v>
      </c>
      <c r="B26" s="6" t="n">
        <v>0</v>
      </c>
    </row>
    <row r="27" customFormat="false" ht="15" hidden="false" customHeight="false" outlineLevel="0" collapsed="false">
      <c r="A27" s="10" t="s">
        <v>23</v>
      </c>
      <c r="B27" s="11" t="n">
        <f aca="false">B21-B24-B25-B26</f>
        <v>533</v>
      </c>
    </row>
    <row r="28" customFormat="false" ht="15" hidden="false" customHeight="false" outlineLevel="0" collapsed="false">
      <c r="A28" s="10" t="s">
        <v>24</v>
      </c>
      <c r="B28" s="12" t="n">
        <f aca="false">B27/B8</f>
        <v>0.775836972343523</v>
      </c>
    </row>
    <row r="30" customFormat="false" ht="15" hidden="false" customHeight="false" outlineLevel="0" collapsed="false">
      <c r="A30" s="5" t="s">
        <v>25</v>
      </c>
    </row>
    <row r="31" customFormat="false" ht="15" hidden="false" customHeight="false" outlineLevel="0" collapsed="false">
      <c r="A31" s="0" t="s">
        <v>26</v>
      </c>
      <c r="B31" s="13" t="n">
        <f aca="false">B8</f>
        <v>687</v>
      </c>
    </row>
    <row r="32" customFormat="false" ht="15" hidden="false" customHeight="false" outlineLevel="0" collapsed="false">
      <c r="A32" s="0" t="s">
        <v>27</v>
      </c>
      <c r="B32" s="13" t="n">
        <f aca="false">B31*12</f>
        <v>8244</v>
      </c>
    </row>
    <row r="33" customFormat="false" ht="15" hidden="false" customHeight="false" outlineLevel="0" collapsed="false">
      <c r="A33" s="0" t="s">
        <v>28</v>
      </c>
      <c r="B33" s="14" t="n">
        <v>3</v>
      </c>
    </row>
    <row r="35" customFormat="false" ht="15" hidden="false" customHeight="false" outlineLevel="0" collapsed="false">
      <c r="A35" s="15" t="s">
        <v>29</v>
      </c>
    </row>
    <row r="36" customFormat="false" ht="15" hidden="false" customHeight="false" outlineLevel="0" collapsed="false">
      <c r="A36" s="16" t="s">
        <v>30</v>
      </c>
    </row>
    <row r="37" customFormat="false" ht="15" hidden="false" customHeight="false" outlineLevel="0" collapsed="false">
      <c r="A37" s="15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2026-03-27T00:33:20Z</dcterms:created>
  <dc:creator>openpyxl</dc:creator>
  <dc:description/>
  <dc:language>en-US</dc:language>
  <cp:lastModifiedBy/>
  <dcterms:modified xsi:type="dcterms:W3CDTF">2026-03-27T00:33:20Z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