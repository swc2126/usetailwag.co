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<sst xmlns="http://schemas.openxmlformats.org/spreadsheetml/2006/main" count="88" uniqueCount="71">
  <si>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TailWag</t>
  </si>
  <si>
    <t xml:space="preserve">Revenue Forecast — Assumptions  |  April–December 2026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</si>
  <si>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</si>
  <si>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</si>
  <si>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</si>
  <si>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</si>
  <si>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</si>
  <si>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</si>
  <si>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</si>
  <si>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</si>
  <si>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</si>
  <si>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CLIENT COUNTS</t>
  </si>
  <si>
    <t xml:space="preserve">New Strategic Partner Clients</t>
  </si>
  <si>
    <t xml:space="preserve">New Standard Clients ($249)</t>
  </si>
  <si>
    <t xml:space="preserve">Monthly Churn Rate</t>
  </si>
  <si>
    <t xml:space="preserve">Total Strategic Partner Clients</t>
  </si>
  <si>
    <t xml:space="preserve">Total Standard Clients ($249)</t>
  </si>
  <si>
    <t xml:space="preserve">Total Active Clients</t>
  </si>
  <si>
    <t xml:space="preserve">PRICING</t>
  </si>
  <si>
    <t xml:space="preserve">Strategic Partner Monthly Price</t>
  </si>
  <si>
    <t xml:space="preserve">Standard Monthly Price</t>
  </si>
  <si>
    <t xml:space="preserve">COST ASSUMPTIONS (per client/mo)</t>
  </si>
  <si>
    <t xml:space="preserve">Twilio SMS Cost / Client</t>
  </si>
  <si>
    <t xml:space="preserve">Anthropic API Cost / Client</t>
  </si>
  <si>
    <t xml:space="preserve">FIXED MONTHLY EXPENSES</t>
  </si>
  <si>
    <t xml:space="preserve">Render Hosting</t>
  </si>
  <si>
    <t xml:space="preserve">Supabase</t>
  </si>
  <si>
    <t xml:space="preserve">Stripe Fees (2.9% + $0.30 est.)</t>
  </si>
  <si>
    <t xml:space="preserve">Brevo (Email Marketing)</t>
  </si>
  <si>
    <t xml:space="preserve">Domain &amp; Tools</t>
  </si>
  <si>
    <t xml:space="preserve">Gas &amp; Sales Expenses</t>
  </si>
  <si>
    <t xml:space="preserve">Insurance</t>
  </si>
  <si>
    <t xml:space="preserve">Green text = editable input. Change these to model different scenarios.</t>
  </si>
  <si>
    <t xml:space="preserve">Profit &amp; Loss Forecast  |  April–December 2026</t>
  </si>
  <si>
    <t xml:space="preserve">REVENUE</t>
  </si>
  <si>
    <t xml:space="preserve">Strategic Partner Revenue</t>
  </si>
  <si>
    <t xml:space="preserve">Standard ($249) Revenue</t>
  </si>
  <si>
    <t xml:space="preserve">Total Revenue</t>
  </si>
  <si>
    <t xml:space="preserve">COST OF GOODS SOLD</t>
  </si>
  <si>
    <t xml:space="preserve">Twilio SMS Costs</t>
  </si>
  <si>
    <t xml:space="preserve">Anthropic API Costs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</si>
  <si>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</si>
  <si>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</si>
  <si>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</si>
  <si>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</si>
  <si>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Stripe Processing Fees</t>
  </si>
  <si>
    <t xml:space="preserve">Total Operating Expenses</t>
  </si>
  <si>
    <t xml:space="preserve">EBITDA / Net Income</t>
  </si>
  <si>
    <t xml:space="preserve">Net Margin %</t>
  </si>
  <si>
    <t xml:space="preserve">CUMULATIVE</t>
  </si>
  <si>
    <t xml:space="preserve">Cumulative Revenue</t>
  </si>
  <si>
    <t xml:space="preserve">Cumulative Net Income</t>
  </si>
  <si>
    <t xml:space="preserve">Annual Run Rate (ARR)</t>
  </si>
  <si>
    <t xml:space="preserve">Revenue Dashboard  |  April–December 2026</t>
  </si>
  <si>
    <t xml:space="preserve">KEY METRICS</t>
  </si>
  <si>
    <t xml:space="preserve">Value</t>
  </si>
  <si>
    <t xml:space="preserve">April MRR</t>
  </si>
  <si>
    <t xml:space="preserve">May MRR</t>
  </si>
  <si>
    <t xml:space="preserve">December MRR</t>
  </si>
  <si>
    <t xml:space="preserve">April Clients</t>
  </si>
  <si>
    <t xml:space="preserve">May Clients</t>
  </si>
  <si>
    <t xml:space="preserve">December Clients</t>
  </si>
  <si>
    <t xml:space="preserve">April Net Income</t>
  </si>
  <si>
    <t xml:space="preserve">May Net Income</t>
  </si>
  <si>
    <t xml:space="preserve">December Net Income</t>
  </si>
  <si>
    <t xml:space="preserve">Year-End Cumulative Revenue</t>
  </si>
  <si>
    <t xml:space="preserve">Year-End Cumulative Net Income</t>
  </si>
  <si>
    <t xml:space="preserve">December ARR</t>
  </si>
  <si>
    <t xml:space="preserve">Gross Margin (steady state)</t>
  </si>
  <si>
    <t xml:space="preserve">Net Margin (December)</t>
  </si>
  <si>
    <t xml:space="preserve">Avg Revenue per Client (Dec)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</si>
</sst>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$#,##0;&quot;($&quot;#,##0\);\-"/>
    <numFmt numFmtId="168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1410"/>
      <name val="Arial"/>
      <family val="0"/>
      <charset val="1"/>
    </font>
    <font>
      <sz val="13"/>
      <color rgb="FF2D3748"/>
      <name val="Arial"/>
      <family val="0"/>
      <charset val="1"/>
    </font>
    <font>
      <b val="true"/>
      <sz val="11"/>
      <color rgb="FFF5F0E8"/>
      <name val="Arial"/>
      <family val="0"/>
      <charset val="1"/>
    </font>
    <font>
      <sz val="11"/>
      <color rgb="FF2D3748"/>
      <name val="Arial"/>
      <family val="0"/>
      <charset val="1"/>
    </font>
    <font>
      <sz val="11"/>
      <color rgb="FF1E6B4A"/>
      <name val="Arial"/>
      <family val="0"/>
      <charset val="1"/>
    </font>
    <font>
      <b val="true"/>
      <sz val="11"/>
      <color rgb="FF2D374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1E6B4A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5F0E8"/>
        <bgColor rgb="FFFFFFFF"/>
      </patternFill>
    </fill>
    <fill>
      <patternFill patternType="solid">
        <fgColor rgb="FF1E6B4A"/>
        <bgColor rgb="FF008080"/>
      </patternFill>
    </fill>
    <fill>
      <patternFill patternType="solid">
        <fgColor rgb="FF0F1410"/>
        <bgColor rgb="FF000000"/>
      </patternFill>
    </fill>
    <fill>
      <patternFill patternType="solid">
        <fgColor rgb="FFFFFFFF"/>
        <bgColor rgb="FFF5F0E8"/>
      </patternFill>
    </fill>
    <fill>
      <patternFill patternType="solid">
        <fgColor rgb="FFC4933F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8C5B0"/>
      </left>
      <right style="thin">
        <color rgb="FFA8C5B0"/>
      </right>
      <top style="thin">
        <color rgb="FFA8C5B0"/>
      </top>
      <bottom style="thin">
        <color rgb="FFA8C5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A"/>
      <rgbColor rgb="FFA8C5B0"/>
      <rgbColor rgb="FF808080"/>
      <rgbColor rgb="FF9999FF"/>
      <rgbColor rgb="FF993366"/>
      <rgbColor rgb="FFF5F0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4933F"/>
      <rgbColor rgb="FF003366"/>
      <rgbColor rgb="FF339966"/>
      <rgbColor rgb="FF0F141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4A"/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10" min="2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21.75" hidden="false" customHeight="true" outlineLevel="0" collapsed="false">
      <c r="A4" s="4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customFormat="false" ht="21.75" hidden="false" customHeight="true" outlineLevel="0" collapsed="false">
      <c r="A5" s="4" t="s">
        <v>11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6" t="s">
        <v>12</v>
      </c>
      <c r="B6" s="7" t="n">
        <v>15</v>
      </c>
      <c r="C6" s="7" t="n">
        <v>15</v>
      </c>
      <c r="D6" s="7" t="n">
        <v>5</v>
      </c>
      <c r="E6" s="7" t="n">
        <v>5</v>
      </c>
      <c r="F6" s="7" t="n">
        <v>5</v>
      </c>
      <c r="G6" s="7" t="n">
        <v>5</v>
      </c>
      <c r="H6" s="7" t="n">
        <v>5</v>
      </c>
      <c r="I6" s="7" t="n">
        <v>5</v>
      </c>
      <c r="J6" s="7" t="n">
        <v>5</v>
      </c>
    </row>
    <row r="7" customFormat="false" ht="15" hidden="false" customHeight="false" outlineLevel="0" collapsed="false">
      <c r="A7" s="8" t="s">
        <v>13</v>
      </c>
      <c r="B7" s="9" t="n">
        <v>15</v>
      </c>
      <c r="C7" s="9" t="n">
        <v>15</v>
      </c>
      <c r="D7" s="9" t="n">
        <v>5</v>
      </c>
      <c r="E7" s="9" t="n">
        <v>5</v>
      </c>
      <c r="F7" s="9" t="n">
        <v>5</v>
      </c>
      <c r="G7" s="9" t="n">
        <v>5</v>
      </c>
      <c r="H7" s="9" t="n">
        <v>5</v>
      </c>
      <c r="I7" s="9" t="n">
        <v>5</v>
      </c>
      <c r="J7" s="9" t="n">
        <v>5</v>
      </c>
    </row>
    <row r="8" customFormat="false" ht="15" hidden="false" customHeight="false" outlineLevel="0" collapsed="false">
      <c r="A8" s="6" t="s">
        <v>14</v>
      </c>
      <c r="B8" s="10" t="n">
        <v>0.03</v>
      </c>
      <c r="C8" s="10" t="n">
        <v>0.03</v>
      </c>
      <c r="D8" s="10" t="n">
        <v>0.03</v>
      </c>
      <c r="E8" s="10" t="n">
        <v>0.03</v>
      </c>
      <c r="F8" s="10" t="n">
        <v>0.03</v>
      </c>
      <c r="G8" s="10" t="n">
        <v>0.03</v>
      </c>
      <c r="H8" s="10" t="n">
        <v>0.03</v>
      </c>
      <c r="I8" s="10" t="n">
        <v>0.03</v>
      </c>
      <c r="J8" s="10" t="n">
        <v>0.03</v>
      </c>
    </row>
    <row r="9" customFormat="false" ht="15" hidden="false" customHeight="false" outlineLevel="0" collapsed="false">
      <c r="A9" s="11" t="s">
        <v>15</v>
      </c>
      <c r="B9" s="12" t="n">
        <f aca="false">B6</f>
        <v>15</v>
      </c>
      <c r="C9" s="12" t="n">
        <f aca="false">ROUND(B9*(1-C8)+C6,0)</f>
        <v>30</v>
      </c>
      <c r="D9" s="12" t="n">
        <f aca="false">ROUND(C9*(1-D8)+D6,0)</f>
        <v>34</v>
      </c>
      <c r="E9" s="12" t="n">
        <f aca="false">ROUND(D9*(1-E8)+E6,0)</f>
        <v>38</v>
      </c>
      <c r="F9" s="12" t="n">
        <f aca="false">ROUND(E9*(1-F8)+F6,0)</f>
        <v>42</v>
      </c>
      <c r="G9" s="12" t="n">
        <f aca="false">ROUND(F9*(1-G8)+G6,0)</f>
        <v>46</v>
      </c>
      <c r="H9" s="12" t="n">
        <f aca="false">ROUND(G9*(1-H8)+H6,0)</f>
        <v>50</v>
      </c>
      <c r="I9" s="12" t="n">
        <f aca="false">ROUND(H9*(1-I8)+I6,0)</f>
        <v>54</v>
      </c>
      <c r="J9" s="12" t="n">
        <f aca="false">ROUND(I9*(1-J8)+J6,0)</f>
        <v>57</v>
      </c>
    </row>
    <row r="10" customFormat="false" ht="15" hidden="false" customHeight="false" outlineLevel="0" collapsed="false">
      <c r="A10" s="13" t="s">
        <v>16</v>
      </c>
      <c r="B10" s="14" t="n">
        <f aca="false">B7</f>
        <v>15</v>
      </c>
      <c r="C10" s="14" t="n">
        <f aca="false">ROUND(B10*(1-C8)+C7,0)</f>
        <v>30</v>
      </c>
      <c r="D10" s="14" t="n">
        <f aca="false">ROUND(C10*(1-D8)+D7,0)</f>
        <v>34</v>
      </c>
      <c r="E10" s="14" t="n">
        <f aca="false">ROUND(D10*(1-E8)+E7,0)</f>
        <v>38</v>
      </c>
      <c r="F10" s="14" t="n">
        <f aca="false">ROUND(E10*(1-F8)+F7,0)</f>
        <v>42</v>
      </c>
      <c r="G10" s="14" t="n">
        <f aca="false">ROUND(F10*(1-G8)+G7,0)</f>
        <v>46</v>
      </c>
      <c r="H10" s="14" t="n">
        <f aca="false">ROUND(G10*(1-H8)+H7,0)</f>
        <v>50</v>
      </c>
      <c r="I10" s="14" t="n">
        <f aca="false">ROUND(H10*(1-I8)+I7,0)</f>
        <v>54</v>
      </c>
      <c r="J10" s="14" t="n">
        <f aca="false">ROUND(I10*(1-J8)+J7,0)</f>
        <v>57</v>
      </c>
    </row>
    <row r="11" customFormat="false" ht="15" hidden="false" customHeight="false" outlineLevel="0" collapsed="false">
      <c r="A11" s="15" t="s">
        <v>17</v>
      </c>
      <c r="B11" s="16" t="n">
        <f aca="false">B9+B10</f>
        <v>30</v>
      </c>
      <c r="C11" s="16" t="n">
        <f aca="false">C9+C10</f>
        <v>60</v>
      </c>
      <c r="D11" s="16" t="n">
        <f aca="false">D9+D10</f>
        <v>68</v>
      </c>
      <c r="E11" s="16" t="n">
        <f aca="false">E9+E10</f>
        <v>76</v>
      </c>
      <c r="F11" s="16" t="n">
        <f aca="false">F9+F10</f>
        <v>84</v>
      </c>
      <c r="G11" s="16" t="n">
        <f aca="false">G9+G10</f>
        <v>92</v>
      </c>
      <c r="H11" s="16" t="n">
        <f aca="false">H9+H10</f>
        <v>100</v>
      </c>
      <c r="I11" s="16" t="n">
        <f aca="false">I9+I10</f>
        <v>108</v>
      </c>
      <c r="J11" s="16" t="n">
        <f aca="false">J9+J10</f>
        <v>114</v>
      </c>
    </row>
    <row r="12" customFormat="false" ht="15" hidden="false" customHeight="false" outlineLevel="0" collapsed="false">
      <c r="A12" s="4" t="s">
        <v>18</v>
      </c>
      <c r="B12" s="5"/>
      <c r="C12" s="5"/>
      <c r="D12" s="5"/>
      <c r="E12" s="5"/>
      <c r="F12" s="5"/>
      <c r="G12" s="5"/>
      <c r="H12" s="5"/>
      <c r="I12" s="5"/>
      <c r="J12" s="5"/>
    </row>
    <row r="13" customFormat="false" ht="15" hidden="false" customHeight="false" outlineLevel="0" collapsed="false">
      <c r="A13" s="6" t="s">
        <v>19</v>
      </c>
      <c r="B13" s="17" t="n">
        <v>159</v>
      </c>
      <c r="C13" s="17" t="n">
        <v>159</v>
      </c>
      <c r="D13" s="17" t="n">
        <v>159</v>
      </c>
      <c r="E13" s="17" t="n">
        <v>159</v>
      </c>
      <c r="F13" s="17" t="n">
        <v>159</v>
      </c>
      <c r="G13" s="17" t="n">
        <v>159</v>
      </c>
      <c r="H13" s="17" t="n">
        <v>159</v>
      </c>
      <c r="I13" s="17" t="n">
        <v>159</v>
      </c>
      <c r="J13" s="17" t="n">
        <v>159</v>
      </c>
    </row>
    <row r="14" customFormat="false" ht="15" hidden="false" customHeight="false" outlineLevel="0" collapsed="false">
      <c r="A14" s="8" t="s">
        <v>20</v>
      </c>
      <c r="B14" s="18" t="n">
        <v>249</v>
      </c>
      <c r="C14" s="18" t="n">
        <v>249</v>
      </c>
      <c r="D14" s="18" t="n">
        <v>249</v>
      </c>
      <c r="E14" s="18" t="n">
        <v>249</v>
      </c>
      <c r="F14" s="18" t="n">
        <v>249</v>
      </c>
      <c r="G14" s="18" t="n">
        <v>249</v>
      </c>
      <c r="H14" s="18" t="n">
        <v>249</v>
      </c>
      <c r="I14" s="18" t="n">
        <v>249</v>
      </c>
      <c r="J14" s="18" t="n">
        <v>249</v>
      </c>
    </row>
    <row r="15" customFormat="false" ht="15" hidden="false" customHeight="false" outlineLevel="0" collapsed="false">
      <c r="A15" s="4" t="s">
        <v>21</v>
      </c>
      <c r="B15" s="5"/>
      <c r="C15" s="5"/>
      <c r="D15" s="5"/>
      <c r="E15" s="5"/>
      <c r="F15" s="5"/>
      <c r="G15" s="5"/>
      <c r="H15" s="5"/>
      <c r="I15" s="5"/>
      <c r="J15" s="5"/>
    </row>
    <row r="16" customFormat="false" ht="15" hidden="false" customHeight="false" outlineLevel="0" collapsed="false">
      <c r="A16" s="6" t="s">
        <v>22</v>
      </c>
      <c r="B16" s="17" t="n">
        <v>12</v>
      </c>
      <c r="C16" s="17" t="n">
        <v>12</v>
      </c>
      <c r="D16" s="17" t="n">
        <v>12</v>
      </c>
      <c r="E16" s="17" t="n">
        <v>12</v>
      </c>
      <c r="F16" s="17" t="n">
        <v>12</v>
      </c>
      <c r="G16" s="17" t="n">
        <v>12</v>
      </c>
      <c r="H16" s="17" t="n">
        <v>12</v>
      </c>
      <c r="I16" s="17" t="n">
        <v>12</v>
      </c>
      <c r="J16" s="17" t="n">
        <v>12</v>
      </c>
    </row>
    <row r="17" customFormat="false" ht="15" hidden="false" customHeight="false" outlineLevel="0" collapsed="false">
      <c r="A17" s="8" t="s">
        <v>23</v>
      </c>
      <c r="B17" s="18" t="n">
        <v>8</v>
      </c>
      <c r="C17" s="18" t="n">
        <v>8</v>
      </c>
      <c r="D17" s="18" t="n">
        <v>8</v>
      </c>
      <c r="E17" s="18" t="n">
        <v>8</v>
      </c>
      <c r="F17" s="18" t="n">
        <v>8</v>
      </c>
      <c r="G17" s="18" t="n">
        <v>8</v>
      </c>
      <c r="H17" s="18" t="n">
        <v>8</v>
      </c>
      <c r="I17" s="18" t="n">
        <v>8</v>
      </c>
      <c r="J17" s="18" t="n">
        <v>8</v>
      </c>
    </row>
    <row r="18" customFormat="false" ht="15" hidden="false" customHeight="false" outlineLevel="0" collapsed="false">
      <c r="A18" s="4" t="s">
        <v>24</v>
      </c>
      <c r="B18" s="5"/>
      <c r="C18" s="5"/>
      <c r="D18" s="5"/>
      <c r="E18" s="5"/>
      <c r="F18" s="5"/>
      <c r="G18" s="5"/>
      <c r="H18" s="5"/>
      <c r="I18" s="5"/>
      <c r="J18" s="5"/>
    </row>
    <row r="19" customFormat="false" ht="15" hidden="false" customHeight="false" outlineLevel="0" collapsed="false">
      <c r="A19" s="6" t="s">
        <v>25</v>
      </c>
      <c r="B19" s="17" t="n">
        <v>50</v>
      </c>
      <c r="C19" s="17" t="n">
        <v>50</v>
      </c>
      <c r="D19" s="17" t="n">
        <v>50</v>
      </c>
      <c r="E19" s="17" t="n">
        <v>50</v>
      </c>
      <c r="F19" s="17" t="n">
        <v>50</v>
      </c>
      <c r="G19" s="17" t="n">
        <v>50</v>
      </c>
      <c r="H19" s="17" t="n">
        <v>50</v>
      </c>
      <c r="I19" s="17" t="n">
        <v>50</v>
      </c>
      <c r="J19" s="17" t="n">
        <v>50</v>
      </c>
    </row>
    <row r="20" customFormat="false" ht="15" hidden="false" customHeight="false" outlineLevel="0" collapsed="false">
      <c r="A20" s="8" t="s">
        <v>26</v>
      </c>
      <c r="B20" s="18" t="n">
        <v>25</v>
      </c>
      <c r="C20" s="18" t="n">
        <v>25</v>
      </c>
      <c r="D20" s="18" t="n">
        <v>25</v>
      </c>
      <c r="E20" s="18" t="n">
        <v>25</v>
      </c>
      <c r="F20" s="18" t="n">
        <v>25</v>
      </c>
      <c r="G20" s="18" t="n">
        <v>25</v>
      </c>
      <c r="H20" s="18" t="n">
        <v>25</v>
      </c>
      <c r="I20" s="18" t="n">
        <v>25</v>
      </c>
      <c r="J20" s="18" t="n">
        <v>25</v>
      </c>
    </row>
    <row r="21" customFormat="false" ht="15" hidden="false" customHeight="false" outlineLevel="0" collapsed="false">
      <c r="A21" s="6" t="s">
        <v>27</v>
      </c>
      <c r="B21" s="19" t="n">
        <f aca="false">ROUND('P&amp;L'!B8*0.029,0)</f>
        <v>177</v>
      </c>
      <c r="C21" s="19" t="n">
        <f aca="false">ROUND('P&amp;L'!C8*0.029,0)</f>
        <v>355</v>
      </c>
      <c r="D21" s="19" t="n">
        <f aca="false">ROUND('P&amp;L'!D8*0.029,0)</f>
        <v>402</v>
      </c>
      <c r="E21" s="19" t="n">
        <f aca="false">ROUND('P&amp;L'!E8*0.029,0)</f>
        <v>450</v>
      </c>
      <c r="F21" s="19" t="n">
        <f aca="false">ROUND('P&amp;L'!F8*0.029,0)</f>
        <v>497</v>
      </c>
      <c r="G21" s="19" t="n">
        <f aca="false">ROUND('P&amp;L'!G8*0.029,0)</f>
        <v>544</v>
      </c>
      <c r="H21" s="19" t="n">
        <f aca="false">ROUND('P&amp;L'!H8*0.029,0)</f>
        <v>592</v>
      </c>
      <c r="I21" s="19" t="n">
        <f aca="false">ROUND('P&amp;L'!I8*0.029,0)</f>
        <v>639</v>
      </c>
      <c r="J21" s="19" t="n">
        <f aca="false">ROUND('P&amp;L'!J8*0.029,0)</f>
        <v>674</v>
      </c>
    </row>
    <row r="22" customFormat="false" ht="15" hidden="false" customHeight="false" outlineLevel="0" collapsed="false">
      <c r="A22" s="8" t="s">
        <v>28</v>
      </c>
      <c r="B22" s="18" t="n">
        <v>25</v>
      </c>
      <c r="C22" s="18" t="n">
        <v>25</v>
      </c>
      <c r="D22" s="18" t="n">
        <v>25</v>
      </c>
      <c r="E22" s="18" t="n">
        <v>25</v>
      </c>
      <c r="F22" s="18" t="n">
        <v>25</v>
      </c>
      <c r="G22" s="18" t="n">
        <v>25</v>
      </c>
      <c r="H22" s="18" t="n">
        <v>25</v>
      </c>
      <c r="I22" s="18" t="n">
        <v>25</v>
      </c>
      <c r="J22" s="18" t="n">
        <v>25</v>
      </c>
    </row>
    <row r="23" customFormat="false" ht="15" hidden="false" customHeight="false" outlineLevel="0" collapsed="false">
      <c r="A23" s="6" t="s">
        <v>29</v>
      </c>
      <c r="B23" s="17" t="n">
        <v>30</v>
      </c>
      <c r="C23" s="17" t="n">
        <v>30</v>
      </c>
      <c r="D23" s="17" t="n">
        <v>30</v>
      </c>
      <c r="E23" s="17" t="n">
        <v>30</v>
      </c>
      <c r="F23" s="17" t="n">
        <v>30</v>
      </c>
      <c r="G23" s="17" t="n">
        <v>30</v>
      </c>
      <c r="H23" s="17" t="n">
        <v>30</v>
      </c>
      <c r="I23" s="17" t="n">
        <v>30</v>
      </c>
      <c r="J23" s="17" t="n">
        <v>30</v>
      </c>
    </row>
    <row r="24" customFormat="false" ht="15" hidden="false" customHeight="false" outlineLevel="0" collapsed="false">
      <c r="A24" s="8" t="s">
        <v>30</v>
      </c>
      <c r="B24" s="18" t="n">
        <v>200</v>
      </c>
      <c r="C24" s="18" t="n">
        <v>200</v>
      </c>
      <c r="D24" s="18" t="n">
        <v>200</v>
      </c>
      <c r="E24" s="18" t="n">
        <v>200</v>
      </c>
      <c r="F24" s="18" t="n">
        <v>200</v>
      </c>
      <c r="G24" s="18" t="n">
        <v>200</v>
      </c>
      <c r="H24" s="18" t="n">
        <v>200</v>
      </c>
      <c r="I24" s="18" t="n">
        <v>200</v>
      </c>
      <c r="J24" s="18" t="n">
        <v>200</v>
      </c>
    </row>
    <row r="25" customFormat="false" ht="15" hidden="false" customHeight="false" outlineLevel="0" collapsed="false">
      <c r="A25" s="6" t="s">
        <v>31</v>
      </c>
      <c r="B25" s="17" t="n">
        <v>100</v>
      </c>
      <c r="C25" s="17" t="n">
        <v>100</v>
      </c>
      <c r="D25" s="17" t="n">
        <v>100</v>
      </c>
      <c r="E25" s="17" t="n">
        <v>100</v>
      </c>
      <c r="F25" s="17" t="n">
        <v>100</v>
      </c>
      <c r="G25" s="17" t="n">
        <v>100</v>
      </c>
      <c r="H25" s="17" t="n">
        <v>100</v>
      </c>
      <c r="I25" s="17" t="n">
        <v>100</v>
      </c>
      <c r="J25" s="17" t="n">
        <v>100</v>
      </c>
    </row>
    <row r="26" customFormat="false" ht="15" hidden="false" customHeight="false" outlineLevel="0" collapsed="false">
      <c r="A26" s="20" t="s">
        <v>32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933F"/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10" min="2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4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customFormat="false" ht="15" hidden="false" customHeight="false" outlineLevel="0" collapsed="false">
      <c r="A5" s="4" t="s">
        <v>34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6" t="s">
        <v>35</v>
      </c>
      <c r="B6" s="19" t="n">
        <f aca="false">Assumptions!B9*Assumptions!B13</f>
        <v>2385</v>
      </c>
      <c r="C6" s="19" t="n">
        <f aca="false">Assumptions!C9*Assumptions!C13</f>
        <v>4770</v>
      </c>
      <c r="D6" s="19" t="n">
        <f aca="false">Assumptions!D9*Assumptions!D13</f>
        <v>5406</v>
      </c>
      <c r="E6" s="19" t="n">
        <f aca="false">Assumptions!E9*Assumptions!E13</f>
        <v>6042</v>
      </c>
      <c r="F6" s="19" t="n">
        <f aca="false">Assumptions!F9*Assumptions!F13</f>
        <v>6678</v>
      </c>
      <c r="G6" s="19" t="n">
        <f aca="false">Assumptions!G9*Assumptions!G13</f>
        <v>7314</v>
      </c>
      <c r="H6" s="19" t="n">
        <f aca="false">Assumptions!H9*Assumptions!H13</f>
        <v>7950</v>
      </c>
      <c r="I6" s="19" t="n">
        <f aca="false">Assumptions!I9*Assumptions!I13</f>
        <v>8586</v>
      </c>
      <c r="J6" s="19" t="n">
        <f aca="false">Assumptions!J9*Assumptions!J13</f>
        <v>9063</v>
      </c>
    </row>
    <row r="7" customFormat="false" ht="15" hidden="false" customHeight="false" outlineLevel="0" collapsed="false">
      <c r="A7" s="8" t="s">
        <v>36</v>
      </c>
      <c r="B7" s="21" t="n">
        <f aca="false">Assumptions!B10*Assumptions!B14</f>
        <v>3735</v>
      </c>
      <c r="C7" s="21" t="n">
        <f aca="false">Assumptions!C10*Assumptions!C14</f>
        <v>7470</v>
      </c>
      <c r="D7" s="21" t="n">
        <f aca="false">Assumptions!D10*Assumptions!D14</f>
        <v>8466</v>
      </c>
      <c r="E7" s="21" t="n">
        <f aca="false">Assumptions!E10*Assumptions!E14</f>
        <v>9462</v>
      </c>
      <c r="F7" s="21" t="n">
        <f aca="false">Assumptions!F10*Assumptions!F14</f>
        <v>10458</v>
      </c>
      <c r="G7" s="21" t="n">
        <f aca="false">Assumptions!G10*Assumptions!G14</f>
        <v>11454</v>
      </c>
      <c r="H7" s="21" t="n">
        <f aca="false">Assumptions!H10*Assumptions!H14</f>
        <v>12450</v>
      </c>
      <c r="I7" s="21" t="n">
        <f aca="false">Assumptions!I10*Assumptions!I14</f>
        <v>13446</v>
      </c>
      <c r="J7" s="21" t="n">
        <f aca="false">Assumptions!J10*Assumptions!J14</f>
        <v>14193</v>
      </c>
    </row>
    <row r="8" customFormat="false" ht="15" hidden="false" customHeight="false" outlineLevel="0" collapsed="false">
      <c r="A8" s="22" t="s">
        <v>37</v>
      </c>
      <c r="B8" s="23" t="n">
        <f aca="false">B6+B7</f>
        <v>6120</v>
      </c>
      <c r="C8" s="23" t="n">
        <f aca="false">C6+C7</f>
        <v>12240</v>
      </c>
      <c r="D8" s="23" t="n">
        <f aca="false">D6+D7</f>
        <v>13872</v>
      </c>
      <c r="E8" s="23" t="n">
        <f aca="false">E6+E7</f>
        <v>15504</v>
      </c>
      <c r="F8" s="23" t="n">
        <f aca="false">F6+F7</f>
        <v>17136</v>
      </c>
      <c r="G8" s="23" t="n">
        <f aca="false">G6+G7</f>
        <v>18768</v>
      </c>
      <c r="H8" s="23" t="n">
        <f aca="false">H6+H7</f>
        <v>20400</v>
      </c>
      <c r="I8" s="23" t="n">
        <f aca="false">I6+I7</f>
        <v>22032</v>
      </c>
      <c r="J8" s="23" t="n">
        <f aca="false">J6+J7</f>
        <v>23256</v>
      </c>
    </row>
    <row r="9" customFormat="false" ht="15" hidden="false" customHeight="false" outlineLevel="0" collapsed="false">
      <c r="A9" s="4" t="s">
        <v>38</v>
      </c>
      <c r="B9" s="5"/>
      <c r="C9" s="5"/>
      <c r="D9" s="5"/>
      <c r="E9" s="5"/>
      <c r="F9" s="5"/>
      <c r="G9" s="5"/>
      <c r="H9" s="5"/>
      <c r="I9" s="5"/>
      <c r="J9" s="5"/>
    </row>
    <row r="10" customFormat="false" ht="15" hidden="false" customHeight="false" outlineLevel="0" collapsed="false">
      <c r="A10" s="6" t="s">
        <v>39</v>
      </c>
      <c r="B10" s="19" t="n">
        <f aca="false">Assumptions!B11*Assumptions!B16</f>
        <v>360</v>
      </c>
      <c r="C10" s="19" t="n">
        <f aca="false">Assumptions!C11*Assumptions!C16</f>
        <v>720</v>
      </c>
      <c r="D10" s="19" t="n">
        <f aca="false">Assumptions!D11*Assumptions!D16</f>
        <v>816</v>
      </c>
      <c r="E10" s="19" t="n">
        <f aca="false">Assumptions!E11*Assumptions!E16</f>
        <v>912</v>
      </c>
      <c r="F10" s="19" t="n">
        <f aca="false">Assumptions!F11*Assumptions!F16</f>
        <v>1008</v>
      </c>
      <c r="G10" s="19" t="n">
        <f aca="false">Assumptions!G11*Assumptions!G16</f>
        <v>1104</v>
      </c>
      <c r="H10" s="19" t="n">
        <f aca="false">Assumptions!H11*Assumptions!H16</f>
        <v>1200</v>
      </c>
      <c r="I10" s="19" t="n">
        <f aca="false">Assumptions!I11*Assumptions!I16</f>
        <v>1296</v>
      </c>
      <c r="J10" s="19" t="n">
        <f aca="false">Assumptions!J11*Assumptions!J16</f>
        <v>1368</v>
      </c>
    </row>
    <row r="11" customFormat="false" ht="15" hidden="false" customHeight="false" outlineLevel="0" collapsed="false">
      <c r="A11" s="8" t="s">
        <v>40</v>
      </c>
      <c r="B11" s="21" t="n">
        <f aca="false">Assumptions!B11*Assumptions!B17</f>
        <v>240</v>
      </c>
      <c r="C11" s="21" t="n">
        <f aca="false">Assumptions!C11*Assumptions!C17</f>
        <v>480</v>
      </c>
      <c r="D11" s="21" t="n">
        <f aca="false">Assumptions!D11*Assumptions!D17</f>
        <v>544</v>
      </c>
      <c r="E11" s="21" t="n">
        <f aca="false">Assumptions!E11*Assumptions!E17</f>
        <v>608</v>
      </c>
      <c r="F11" s="21" t="n">
        <f aca="false">Assumptions!F11*Assumptions!F17</f>
        <v>672</v>
      </c>
      <c r="G11" s="21" t="n">
        <f aca="false">Assumptions!G11*Assumptions!G17</f>
        <v>736</v>
      </c>
      <c r="H11" s="21" t="n">
        <f aca="false">Assumptions!H11*Assumptions!H17</f>
        <v>800</v>
      </c>
      <c r="I11" s="21" t="n">
        <f aca="false">Assumptions!I11*Assumptions!I17</f>
        <v>864</v>
      </c>
      <c r="J11" s="21" t="n">
        <f aca="false">Assumptions!J11*Assumptions!J17</f>
        <v>912</v>
      </c>
    </row>
    <row r="12" customFormat="false" ht="15" hidden="false" customHeight="false" outlineLevel="0" collapsed="false">
      <c r="A12" s="22" t="s">
        <v>41</v>
      </c>
      <c r="B12" s="23" t="n">
        <f aca="false">B10+B11</f>
        <v>600</v>
      </c>
      <c r="C12" s="23" t="n">
        <f aca="false">C10+C11</f>
        <v>1200</v>
      </c>
      <c r="D12" s="23" t="n">
        <f aca="false">D10+D11</f>
        <v>1360</v>
      </c>
      <c r="E12" s="23" t="n">
        <f aca="false">E10+E11</f>
        <v>1520</v>
      </c>
      <c r="F12" s="23" t="n">
        <f aca="false">F10+F11</f>
        <v>1680</v>
      </c>
      <c r="G12" s="23" t="n">
        <f aca="false">G10+G11</f>
        <v>1840</v>
      </c>
      <c r="H12" s="23" t="n">
        <f aca="false">H10+H11</f>
        <v>2000</v>
      </c>
      <c r="I12" s="23" t="n">
        <f aca="false">I10+I11</f>
        <v>2160</v>
      </c>
      <c r="J12" s="23" t="n">
        <f aca="false">J10+J11</f>
        <v>2280</v>
      </c>
    </row>
    <row r="13" customFormat="false" ht="15" hidden="false" customHeight="false" outlineLevel="0" collapsed="false">
      <c r="A13" s="13" t="s">
        <v>42</v>
      </c>
      <c r="B13" s="24" t="n">
        <f aca="false">B8-B12</f>
        <v>5520</v>
      </c>
      <c r="C13" s="24" t="n">
        <f aca="false">C8-C12</f>
        <v>11040</v>
      </c>
      <c r="D13" s="24" t="n">
        <f aca="false">D8-D12</f>
        <v>12512</v>
      </c>
      <c r="E13" s="24" t="n">
        <f aca="false">E8-E12</f>
        <v>13984</v>
      </c>
      <c r="F13" s="24" t="n">
        <f aca="false">F8-F12</f>
        <v>15456</v>
      </c>
      <c r="G13" s="24" t="n">
        <f aca="false">G8-G12</f>
        <v>16928</v>
      </c>
      <c r="H13" s="24" t="n">
        <f aca="false">H8-H12</f>
        <v>18400</v>
      </c>
      <c r="I13" s="24" t="n">
        <f aca="false">I8-I12</f>
        <v>19872</v>
      </c>
      <c r="J13" s="24" t="n">
        <f aca="false">J8-J12</f>
        <v>20976</v>
      </c>
    </row>
    <row r="14" customFormat="false" ht="15" hidden="false" customHeight="false" outlineLevel="0" collapsed="false">
      <c r="A14" s="8" t="s">
        <v>43</v>
      </c>
      <c r="B14" s="25" t="n">
        <f aca="false">IF(B8=0,0,B13/B8)</f>
        <v>0.901960784313726</v>
      </c>
      <c r="C14" s="25" t="n">
        <f aca="false">IF(C8=0,0,C13/C8)</f>
        <v>0.901960784313726</v>
      </c>
      <c r="D14" s="25" t="n">
        <f aca="false">IF(D8=0,0,D13/D8)</f>
        <v>0.901960784313726</v>
      </c>
      <c r="E14" s="25" t="n">
        <f aca="false">IF(E8=0,0,E13/E8)</f>
        <v>0.901960784313726</v>
      </c>
      <c r="F14" s="25" t="n">
        <f aca="false">IF(F8=0,0,F13/F8)</f>
        <v>0.901960784313726</v>
      </c>
      <c r="G14" s="25" t="n">
        <f aca="false">IF(G8=0,0,G13/G8)</f>
        <v>0.901960784313726</v>
      </c>
      <c r="H14" s="25" t="n">
        <f aca="false">IF(H8=0,0,H13/H8)</f>
        <v>0.901960784313726</v>
      </c>
      <c r="I14" s="25" t="n">
        <f aca="false">IF(I8=0,0,I13/I8)</f>
        <v>0.901960784313726</v>
      </c>
      <c r="J14" s="25" t="n">
        <f aca="false">IF(J8=0,0,J13/J8)</f>
        <v>0.901960784313726</v>
      </c>
    </row>
    <row r="15" customFormat="false" ht="15" hidden="false" customHeight="false" outlineLevel="0" collapsed="false">
      <c r="A15" s="4" t="s">
        <v>44</v>
      </c>
      <c r="B15" s="5"/>
      <c r="C15" s="5"/>
      <c r="D15" s="5"/>
      <c r="E15" s="5"/>
      <c r="F15" s="5"/>
      <c r="G15" s="5"/>
      <c r="H15" s="5"/>
      <c r="I15" s="5"/>
      <c r="J15" s="5"/>
    </row>
    <row r="16" customFormat="false" ht="15" hidden="false" customHeight="false" outlineLevel="0" collapsed="false">
      <c r="A16" s="6" t="s">
        <v>25</v>
      </c>
      <c r="B16" s="19" t="n">
        <f aca="false">Assumptions!B19</f>
        <v>50</v>
      </c>
      <c r="C16" s="19" t="n">
        <f aca="false">Assumptions!C19</f>
        <v>50</v>
      </c>
      <c r="D16" s="19" t="n">
        <f aca="false">Assumptions!D19</f>
        <v>50</v>
      </c>
      <c r="E16" s="19" t="n">
        <f aca="false">Assumptions!E19</f>
        <v>50</v>
      </c>
      <c r="F16" s="19" t="n">
        <f aca="false">Assumptions!F19</f>
        <v>50</v>
      </c>
      <c r="G16" s="19" t="n">
        <f aca="false">Assumptions!G19</f>
        <v>50</v>
      </c>
      <c r="H16" s="19" t="n">
        <f aca="false">Assumptions!H19</f>
        <v>50</v>
      </c>
      <c r="I16" s="19" t="n">
        <f aca="false">Assumptions!I19</f>
        <v>50</v>
      </c>
      <c r="J16" s="19" t="n">
        <f aca="false">Assumptions!J19</f>
        <v>50</v>
      </c>
    </row>
    <row r="17" customFormat="false" ht="15" hidden="false" customHeight="false" outlineLevel="0" collapsed="false">
      <c r="A17" s="8" t="s">
        <v>26</v>
      </c>
      <c r="B17" s="21" t="n">
        <f aca="false">Assumptions!B20</f>
        <v>25</v>
      </c>
      <c r="C17" s="21" t="n">
        <f aca="false">Assumptions!C20</f>
        <v>25</v>
      </c>
      <c r="D17" s="21" t="n">
        <f aca="false">Assumptions!D20</f>
        <v>25</v>
      </c>
      <c r="E17" s="21" t="n">
        <f aca="false">Assumptions!E20</f>
        <v>25</v>
      </c>
      <c r="F17" s="21" t="n">
        <f aca="false">Assumptions!F20</f>
        <v>25</v>
      </c>
      <c r="G17" s="21" t="n">
        <f aca="false">Assumptions!G20</f>
        <v>25</v>
      </c>
      <c r="H17" s="21" t="n">
        <f aca="false">Assumptions!H20</f>
        <v>25</v>
      </c>
      <c r="I17" s="21" t="n">
        <f aca="false">Assumptions!I20</f>
        <v>25</v>
      </c>
      <c r="J17" s="21" t="n">
        <f aca="false">Assumptions!J20</f>
        <v>25</v>
      </c>
    </row>
    <row r="18" customFormat="false" ht="15" hidden="false" customHeight="false" outlineLevel="0" collapsed="false">
      <c r="A18" s="6" t="s">
        <v>45</v>
      </c>
      <c r="B18" s="19" t="n">
        <f aca="false">Assumptions!B21</f>
        <v>177</v>
      </c>
      <c r="C18" s="19" t="n">
        <f aca="false">Assumptions!C21</f>
        <v>355</v>
      </c>
      <c r="D18" s="19" t="n">
        <f aca="false">Assumptions!D21</f>
        <v>402</v>
      </c>
      <c r="E18" s="19" t="n">
        <f aca="false">Assumptions!E21</f>
        <v>450</v>
      </c>
      <c r="F18" s="19" t="n">
        <f aca="false">Assumptions!F21</f>
        <v>497</v>
      </c>
      <c r="G18" s="19" t="n">
        <f aca="false">Assumptions!G21</f>
        <v>544</v>
      </c>
      <c r="H18" s="19" t="n">
        <f aca="false">Assumptions!H21</f>
        <v>592</v>
      </c>
      <c r="I18" s="19" t="n">
        <f aca="false">Assumptions!I21</f>
        <v>639</v>
      </c>
      <c r="J18" s="19" t="n">
        <f aca="false">Assumptions!J21</f>
        <v>674</v>
      </c>
    </row>
    <row r="19" customFormat="false" ht="15" hidden="false" customHeight="false" outlineLevel="0" collapsed="false">
      <c r="A19" s="8" t="s">
        <v>28</v>
      </c>
      <c r="B19" s="21" t="n">
        <f aca="false">Assumptions!B22</f>
        <v>25</v>
      </c>
      <c r="C19" s="21" t="n">
        <f aca="false">Assumptions!C22</f>
        <v>25</v>
      </c>
      <c r="D19" s="21" t="n">
        <f aca="false">Assumptions!D22</f>
        <v>25</v>
      </c>
      <c r="E19" s="21" t="n">
        <f aca="false">Assumptions!E22</f>
        <v>25</v>
      </c>
      <c r="F19" s="21" t="n">
        <f aca="false">Assumptions!F22</f>
        <v>25</v>
      </c>
      <c r="G19" s="21" t="n">
        <f aca="false">Assumptions!G22</f>
        <v>25</v>
      </c>
      <c r="H19" s="21" t="n">
        <f aca="false">Assumptions!H22</f>
        <v>25</v>
      </c>
      <c r="I19" s="21" t="n">
        <f aca="false">Assumptions!I22</f>
        <v>25</v>
      </c>
      <c r="J19" s="21" t="n">
        <f aca="false">Assumptions!J22</f>
        <v>25</v>
      </c>
    </row>
    <row r="20" customFormat="false" ht="15" hidden="false" customHeight="false" outlineLevel="0" collapsed="false">
      <c r="A20" s="6" t="s">
        <v>29</v>
      </c>
      <c r="B20" s="19" t="n">
        <f aca="false">Assumptions!B23</f>
        <v>30</v>
      </c>
      <c r="C20" s="19" t="n">
        <f aca="false">Assumptions!C23</f>
        <v>30</v>
      </c>
      <c r="D20" s="19" t="n">
        <f aca="false">Assumptions!D23</f>
        <v>30</v>
      </c>
      <c r="E20" s="19" t="n">
        <f aca="false">Assumptions!E23</f>
        <v>30</v>
      </c>
      <c r="F20" s="19" t="n">
        <f aca="false">Assumptions!F23</f>
        <v>30</v>
      </c>
      <c r="G20" s="19" t="n">
        <f aca="false">Assumptions!G23</f>
        <v>30</v>
      </c>
      <c r="H20" s="19" t="n">
        <f aca="false">Assumptions!H23</f>
        <v>30</v>
      </c>
      <c r="I20" s="19" t="n">
        <f aca="false">Assumptions!I23</f>
        <v>30</v>
      </c>
      <c r="J20" s="19" t="n">
        <f aca="false">Assumptions!J23</f>
        <v>30</v>
      </c>
    </row>
    <row r="21" customFormat="false" ht="15" hidden="false" customHeight="false" outlineLevel="0" collapsed="false">
      <c r="A21" s="8" t="s">
        <v>30</v>
      </c>
      <c r="B21" s="21" t="n">
        <f aca="false">Assumptions!B24</f>
        <v>200</v>
      </c>
      <c r="C21" s="21" t="n">
        <f aca="false">Assumptions!C24</f>
        <v>200</v>
      </c>
      <c r="D21" s="21" t="n">
        <f aca="false">Assumptions!D24</f>
        <v>200</v>
      </c>
      <c r="E21" s="21" t="n">
        <f aca="false">Assumptions!E24</f>
        <v>200</v>
      </c>
      <c r="F21" s="21" t="n">
        <f aca="false">Assumptions!F24</f>
        <v>200</v>
      </c>
      <c r="G21" s="21" t="n">
        <f aca="false">Assumptions!G24</f>
        <v>200</v>
      </c>
      <c r="H21" s="21" t="n">
        <f aca="false">Assumptions!H24</f>
        <v>200</v>
      </c>
      <c r="I21" s="21" t="n">
        <f aca="false">Assumptions!I24</f>
        <v>200</v>
      </c>
      <c r="J21" s="21" t="n">
        <f aca="false">Assumptions!J24</f>
        <v>200</v>
      </c>
    </row>
    <row r="22" customFormat="false" ht="15" hidden="false" customHeight="false" outlineLevel="0" collapsed="false">
      <c r="A22" s="6" t="s">
        <v>31</v>
      </c>
      <c r="B22" s="19" t="n">
        <f aca="false">Assumptions!B25</f>
        <v>100</v>
      </c>
      <c r="C22" s="19" t="n">
        <f aca="false">Assumptions!C25</f>
        <v>100</v>
      </c>
      <c r="D22" s="19" t="n">
        <f aca="false">Assumptions!D25</f>
        <v>100</v>
      </c>
      <c r="E22" s="19" t="n">
        <f aca="false">Assumptions!E25</f>
        <v>100</v>
      </c>
      <c r="F22" s="19" t="n">
        <f aca="false">Assumptions!F25</f>
        <v>100</v>
      </c>
      <c r="G22" s="19" t="n">
        <f aca="false">Assumptions!G25</f>
        <v>100</v>
      </c>
      <c r="H22" s="19" t="n">
        <f aca="false">Assumptions!H25</f>
        <v>100</v>
      </c>
      <c r="I22" s="19" t="n">
        <f aca="false">Assumptions!I25</f>
        <v>100</v>
      </c>
      <c r="J22" s="19" t="n">
        <f aca="false">Assumptions!J25</f>
        <v>100</v>
      </c>
    </row>
    <row r="23" customFormat="false" ht="15" hidden="false" customHeight="false" outlineLevel="0" collapsed="false">
      <c r="A23" s="22" t="s">
        <v>46</v>
      </c>
      <c r="B23" s="23" t="n">
        <f aca="false">SUM(B16:B22)</f>
        <v>607</v>
      </c>
      <c r="C23" s="23" t="n">
        <f aca="false">SUM(C16:C22)</f>
        <v>785</v>
      </c>
      <c r="D23" s="23" t="n">
        <f aca="false">SUM(D16:D22)</f>
        <v>832</v>
      </c>
      <c r="E23" s="23" t="n">
        <f aca="false">SUM(E16:E22)</f>
        <v>880</v>
      </c>
      <c r="F23" s="23" t="n">
        <f aca="false">SUM(F16:F22)</f>
        <v>927</v>
      </c>
      <c r="G23" s="23" t="n">
        <f aca="false">SUM(G16:G22)</f>
        <v>974</v>
      </c>
      <c r="H23" s="23" t="n">
        <f aca="false">SUM(H16:H22)</f>
        <v>1022</v>
      </c>
      <c r="I23" s="23" t="n">
        <f aca="false">SUM(I16:I22)</f>
        <v>1069</v>
      </c>
      <c r="J23" s="23" t="n">
        <f aca="false">SUM(J16:J22)</f>
        <v>1104</v>
      </c>
    </row>
    <row r="24" customFormat="false" ht="15" hidden="false" customHeight="false" outlineLevel="0" collapsed="false">
      <c r="A24" s="15" t="s">
        <v>47</v>
      </c>
      <c r="B24" s="26" t="n">
        <f aca="false">B13-B23</f>
        <v>4913</v>
      </c>
      <c r="C24" s="26" t="n">
        <f aca="false">C13-C23</f>
        <v>10255</v>
      </c>
      <c r="D24" s="26" t="n">
        <f aca="false">D13-D23</f>
        <v>11680</v>
      </c>
      <c r="E24" s="26" t="n">
        <f aca="false">E13-E23</f>
        <v>13104</v>
      </c>
      <c r="F24" s="26" t="n">
        <f aca="false">F13-F23</f>
        <v>14529</v>
      </c>
      <c r="G24" s="26" t="n">
        <f aca="false">G13-G23</f>
        <v>15954</v>
      </c>
      <c r="H24" s="26" t="n">
        <f aca="false">H13-H23</f>
        <v>17378</v>
      </c>
      <c r="I24" s="26" t="n">
        <f aca="false">I13-I23</f>
        <v>18803</v>
      </c>
      <c r="J24" s="26" t="n">
        <f aca="false">J13-J23</f>
        <v>19872</v>
      </c>
    </row>
    <row r="25" customFormat="false" ht="15" hidden="false" customHeight="false" outlineLevel="0" collapsed="false">
      <c r="A25" s="6" t="s">
        <v>48</v>
      </c>
      <c r="B25" s="27" t="n">
        <f aca="false">IF(B8=0,0,B24/B8)</f>
        <v>0.802777777777778</v>
      </c>
      <c r="C25" s="27" t="n">
        <f aca="false">IF(C8=0,0,C24/C8)</f>
        <v>0.837826797385621</v>
      </c>
      <c r="D25" s="27" t="n">
        <f aca="false">IF(D8=0,0,D24/D8)</f>
        <v>0.841983852364475</v>
      </c>
      <c r="E25" s="27" t="n">
        <f aca="false">IF(E8=0,0,E24/E8)</f>
        <v>0.845201238390093</v>
      </c>
      <c r="F25" s="27" t="n">
        <f aca="false">IF(F8=0,0,F24/F8)</f>
        <v>0.847864145658263</v>
      </c>
      <c r="G25" s="27" t="n">
        <f aca="false">IF(G8=0,0,G24/G8)</f>
        <v>0.850063938618926</v>
      </c>
      <c r="H25" s="27" t="n">
        <f aca="false">IF(H8=0,0,H24/H8)</f>
        <v>0.851862745098039</v>
      </c>
      <c r="I25" s="27" t="n">
        <f aca="false">IF(I8=0,0,I24/I8)</f>
        <v>0.853440450254176</v>
      </c>
      <c r="J25" s="27" t="n">
        <f aca="false">IF(J8=0,0,J24/J8)</f>
        <v>0.854489164086687</v>
      </c>
    </row>
    <row r="27" customFormat="false" ht="15" hidden="false" customHeight="false" outlineLevel="0" collapsed="false">
      <c r="A27" s="4" t="s">
        <v>49</v>
      </c>
      <c r="B27" s="5"/>
      <c r="C27" s="5"/>
      <c r="D27" s="5"/>
      <c r="E27" s="5"/>
      <c r="F27" s="5"/>
      <c r="G27" s="5"/>
      <c r="H27" s="5"/>
      <c r="I27" s="5"/>
      <c r="J27" s="5"/>
    </row>
    <row r="28" customFormat="false" ht="15" hidden="false" customHeight="false" outlineLevel="0" collapsed="false">
      <c r="A28" s="6" t="s">
        <v>50</v>
      </c>
      <c r="B28" s="19" t="n">
        <f aca="false">B8</f>
        <v>6120</v>
      </c>
      <c r="C28" s="19" t="n">
        <f aca="false">B28+C8</f>
        <v>18360</v>
      </c>
      <c r="D28" s="19" t="n">
        <f aca="false">C28+D8</f>
        <v>32232</v>
      </c>
      <c r="E28" s="19" t="n">
        <f aca="false">D28+E8</f>
        <v>47736</v>
      </c>
      <c r="F28" s="19" t="n">
        <f aca="false">E28+F8</f>
        <v>64872</v>
      </c>
      <c r="G28" s="19" t="n">
        <f aca="false">F28+G8</f>
        <v>83640</v>
      </c>
      <c r="H28" s="19" t="n">
        <f aca="false">G28+H8</f>
        <v>104040</v>
      </c>
      <c r="I28" s="19" t="n">
        <f aca="false">H28+I8</f>
        <v>126072</v>
      </c>
      <c r="J28" s="19" t="n">
        <f aca="false">I28+J8</f>
        <v>149328</v>
      </c>
    </row>
    <row r="29" customFormat="false" ht="15" hidden="false" customHeight="false" outlineLevel="0" collapsed="false">
      <c r="A29" s="8" t="s">
        <v>51</v>
      </c>
      <c r="B29" s="21" t="n">
        <f aca="false">B24</f>
        <v>4913</v>
      </c>
      <c r="C29" s="21" t="n">
        <f aca="false">B29+C24</f>
        <v>15168</v>
      </c>
      <c r="D29" s="21" t="n">
        <f aca="false">C29+D24</f>
        <v>26848</v>
      </c>
      <c r="E29" s="21" t="n">
        <f aca="false">D29+E24</f>
        <v>39952</v>
      </c>
      <c r="F29" s="21" t="n">
        <f aca="false">E29+F24</f>
        <v>54481</v>
      </c>
      <c r="G29" s="21" t="n">
        <f aca="false">F29+G24</f>
        <v>70435</v>
      </c>
      <c r="H29" s="21" t="n">
        <f aca="false">G29+H24</f>
        <v>87813</v>
      </c>
      <c r="I29" s="21" t="n">
        <f aca="false">H29+I24</f>
        <v>106616</v>
      </c>
      <c r="J29" s="21" t="n">
        <f aca="false">I29+J24</f>
        <v>126488</v>
      </c>
    </row>
    <row r="30" customFormat="false" ht="15" hidden="false" customHeight="false" outlineLevel="0" collapsed="false">
      <c r="A30" s="15" t="s">
        <v>52</v>
      </c>
      <c r="B30" s="26" t="n">
        <f aca="false">B8*12</f>
        <v>73440</v>
      </c>
      <c r="C30" s="26" t="n">
        <f aca="false">C8*12</f>
        <v>146880</v>
      </c>
      <c r="D30" s="26" t="n">
        <f aca="false">D8*12</f>
        <v>166464</v>
      </c>
      <c r="E30" s="26" t="n">
        <f aca="false">E8*12</f>
        <v>186048</v>
      </c>
      <c r="F30" s="26" t="n">
        <f aca="false">F8*12</f>
        <v>205632</v>
      </c>
      <c r="G30" s="26" t="n">
        <f aca="false">G8*12</f>
        <v>225216</v>
      </c>
      <c r="H30" s="26" t="n">
        <f aca="false">H8*12</f>
        <v>244800</v>
      </c>
      <c r="I30" s="26" t="n">
        <f aca="false">I8*12</f>
        <v>264384</v>
      </c>
      <c r="J30" s="26" t="n">
        <f aca="false">J8*12</f>
        <v>279072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410"/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4" min="3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24" hidden="false" customHeight="true" outlineLevel="0" collapsed="false">
      <c r="A2" s="2" t="s">
        <v>53</v>
      </c>
      <c r="B2" s="2"/>
      <c r="C2" s="2"/>
      <c r="D2" s="2"/>
    </row>
    <row r="3" customFormat="false" ht="3.75" hidden="false" customHeight="true" outlineLevel="0" collapsed="false">
      <c r="A3" s="3"/>
      <c r="B3" s="3"/>
      <c r="C3" s="3"/>
      <c r="D3" s="3"/>
    </row>
    <row r="5" customFormat="false" ht="15" hidden="false" customHeight="false" outlineLevel="0" collapsed="false">
      <c r="A5" s="4" t="s">
        <v>54</v>
      </c>
      <c r="B5" s="5" t="s">
        <v>55</v>
      </c>
      <c r="C5" s="5"/>
      <c r="D5" s="5"/>
    </row>
    <row r="6" customFormat="false" ht="15" hidden="false" customHeight="false" outlineLevel="0" collapsed="false">
      <c r="A6" s="11" t="s">
        <v>56</v>
      </c>
      <c r="B6" s="28" t="n">
        <f aca="false">'P&amp;L'!B8</f>
        <v>6120</v>
      </c>
      <c r="C6" s="29"/>
      <c r="D6" s="29"/>
    </row>
    <row r="7" customFormat="false" ht="15" hidden="false" customHeight="false" outlineLevel="0" collapsed="false">
      <c r="A7" s="13" t="s">
        <v>57</v>
      </c>
      <c r="B7" s="30" t="n">
        <f aca="false">'P&amp;L'!C8</f>
        <v>12240</v>
      </c>
      <c r="C7" s="31"/>
      <c r="D7" s="31"/>
    </row>
    <row r="8" customFormat="false" ht="15" hidden="false" customHeight="false" outlineLevel="0" collapsed="false">
      <c r="A8" s="15" t="s">
        <v>58</v>
      </c>
      <c r="B8" s="32" t="n">
        <f aca="false">'P&amp;L'!J8</f>
        <v>23256</v>
      </c>
      <c r="C8" s="33"/>
      <c r="D8" s="33"/>
    </row>
    <row r="9" customFormat="false" ht="7.5" hidden="false" customHeight="true" outlineLevel="0" collapsed="false">
      <c r="A9" s="34"/>
      <c r="B9" s="34"/>
      <c r="C9" s="34"/>
      <c r="D9" s="34"/>
    </row>
    <row r="10" customFormat="false" ht="15" hidden="false" customHeight="false" outlineLevel="0" collapsed="false">
      <c r="A10" s="11" t="s">
        <v>59</v>
      </c>
      <c r="B10" s="35" t="n">
        <f aca="false">Assumptions!B11</f>
        <v>30</v>
      </c>
      <c r="C10" s="29"/>
      <c r="D10" s="29"/>
    </row>
    <row r="11" customFormat="false" ht="15" hidden="false" customHeight="false" outlineLevel="0" collapsed="false">
      <c r="A11" s="13" t="s">
        <v>60</v>
      </c>
      <c r="B11" s="36" t="n">
        <f aca="false">Assumptions!C11</f>
        <v>60</v>
      </c>
      <c r="C11" s="31"/>
      <c r="D11" s="31"/>
    </row>
    <row r="12" customFormat="false" ht="15" hidden="false" customHeight="false" outlineLevel="0" collapsed="false">
      <c r="A12" s="8" t="s">
        <v>61</v>
      </c>
      <c r="B12" s="35" t="n">
        <f aca="false">Assumptions!J11</f>
        <v>114</v>
      </c>
      <c r="C12" s="29"/>
      <c r="D12" s="29"/>
    </row>
    <row r="13" customFormat="false" ht="7.5" hidden="false" customHeight="true" outlineLevel="0" collapsed="false">
      <c r="A13" s="34"/>
      <c r="B13" s="34"/>
      <c r="C13" s="34"/>
      <c r="D13" s="34"/>
    </row>
    <row r="14" customFormat="false" ht="15" hidden="false" customHeight="false" outlineLevel="0" collapsed="false">
      <c r="A14" s="11" t="s">
        <v>62</v>
      </c>
      <c r="B14" s="28" t="n">
        <f aca="false">'P&amp;L'!B24</f>
        <v>4913</v>
      </c>
      <c r="C14" s="29"/>
      <c r="D14" s="29"/>
    </row>
    <row r="15" customFormat="false" ht="15" hidden="false" customHeight="false" outlineLevel="0" collapsed="false">
      <c r="A15" s="13" t="s">
        <v>63</v>
      </c>
      <c r="B15" s="30" t="n">
        <f aca="false">'P&amp;L'!C24</f>
        <v>10255</v>
      </c>
      <c r="C15" s="31"/>
      <c r="D15" s="31"/>
    </row>
    <row r="16" customFormat="false" ht="15" hidden="false" customHeight="false" outlineLevel="0" collapsed="false">
      <c r="A16" s="8" t="s">
        <v>64</v>
      </c>
      <c r="B16" s="28" t="n">
        <f aca="false">'P&amp;L'!J24</f>
        <v>19872</v>
      </c>
      <c r="C16" s="29"/>
      <c r="D16" s="29"/>
    </row>
    <row r="17" customFormat="false" ht="7.5" hidden="false" customHeight="true" outlineLevel="0" collapsed="false">
      <c r="A17" s="34"/>
      <c r="B17" s="34"/>
      <c r="C17" s="34"/>
      <c r="D17" s="34"/>
    </row>
    <row r="18" customFormat="false" ht="15" hidden="false" customHeight="false" outlineLevel="0" collapsed="false">
      <c r="A18" s="15" t="s">
        <v>65</v>
      </c>
      <c r="B18" s="32" t="n">
        <f aca="false">'P&amp;L'!J28</f>
        <v>149328</v>
      </c>
      <c r="C18" s="33"/>
      <c r="D18" s="33"/>
    </row>
    <row r="19" customFormat="false" ht="15" hidden="false" customHeight="false" outlineLevel="0" collapsed="false">
      <c r="A19" s="6" t="s">
        <v>66</v>
      </c>
      <c r="B19" s="30" t="n">
        <f aca="false">'P&amp;L'!J29</f>
        <v>126488</v>
      </c>
      <c r="C19" s="31"/>
      <c r="D19" s="31"/>
    </row>
    <row r="20" customFormat="false" ht="15" hidden="false" customHeight="false" outlineLevel="0" collapsed="false">
      <c r="A20" s="15" t="s">
        <v>67</v>
      </c>
      <c r="B20" s="32" t="n">
        <f aca="false">'P&amp;L'!J30</f>
        <v>279072</v>
      </c>
      <c r="C20" s="33"/>
      <c r="D20" s="33"/>
    </row>
    <row r="21" customFormat="false" ht="7.5" hidden="false" customHeight="true" outlineLevel="0" collapsed="false">
      <c r="A21" s="34"/>
      <c r="B21" s="34"/>
      <c r="C21" s="34"/>
      <c r="D21" s="34"/>
    </row>
    <row r="22" customFormat="false" ht="15" hidden="false" customHeight="false" outlineLevel="0" collapsed="false">
      <c r="A22" s="8" t="s">
        <v>68</v>
      </c>
      <c r="B22" s="25" t="n">
        <f aca="false">'P&amp;L'!J14</f>
        <v>0.901960784313726</v>
      </c>
      <c r="C22" s="29"/>
      <c r="D22" s="29"/>
    </row>
    <row r="23" customFormat="false" ht="15" hidden="false" customHeight="false" outlineLevel="0" collapsed="false">
      <c r="A23" s="6" t="s">
        <v>69</v>
      </c>
      <c r="B23" s="27" t="n">
        <f aca="false">'P&amp;L'!J25</f>
        <v>0.854489164086687</v>
      </c>
      <c r="C23" s="31"/>
      <c r="D23" s="31"/>
    </row>
    <row r="24" customFormat="false" ht="15" hidden="false" customHeight="false" outlineLevel="0" collapsed="false">
      <c r="A24" s="8" t="s">
        <v>70</v>
      </c>
      <c r="B24" s="28" t="n">
        <f aca="false">IF(Assumptions!J11=0,0,'P&amp;L'!J8/Assumptions!J11)</f>
        <v>204</v>
      </c>
      <c r="C24" s="29"/>
      <c r="D24" s="29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2026-03-30T05:55:41Z</dcterms:created>
  <dc:creator>openpyxl</dc:creator>
  <dc:description/>
  <dc:language>en-US</dc:language>
  <cp:lastModifiedBy/>
  <dcterms:modified xsi:type="dcterms:W3CDTF">2026-03-30T05:55:41Z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